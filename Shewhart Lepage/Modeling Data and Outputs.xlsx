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ocuments\"/>
    </mc:Choice>
  </mc:AlternateContent>
  <xr:revisionPtr revIDLastSave="0" documentId="13_ncr:1_{D8D68574-012B-495F-A7B9-AD1595C27A4A}" xr6:coauthVersionLast="47" xr6:coauthVersionMax="47" xr10:uidLastSave="{00000000-0000-0000-0000-000000000000}"/>
  <bookViews>
    <workbookView xWindow="-108" yWindow="-108" windowWidth="23256" windowHeight="12576" xr2:uid="{8D6D4BD3-25A0-48A3-8B1D-B41699C3CF6F}"/>
  </bookViews>
  <sheets>
    <sheet name="VWAB Modeling Data" sheetId="1" r:id="rId1"/>
    <sheet name="VWM Modeling Data" sheetId="4" r:id="rId2"/>
    <sheet name="H for VWAB with ARL0" sheetId="2" r:id="rId3"/>
    <sheet name="H for VWM with ARL0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4" l="1"/>
  <c r="B61" i="4" s="1"/>
  <c r="A41" i="4"/>
  <c r="A61" i="4" s="1"/>
  <c r="B40" i="4"/>
  <c r="B60" i="4" s="1"/>
  <c r="A40" i="4"/>
  <c r="A60" i="4" s="1"/>
  <c r="B39" i="4"/>
  <c r="B59" i="4" s="1"/>
  <c r="A39" i="4"/>
  <c r="A59" i="4" s="1"/>
  <c r="B38" i="4"/>
  <c r="B58" i="4" s="1"/>
  <c r="A38" i="4"/>
  <c r="A58" i="4" s="1"/>
  <c r="B37" i="4"/>
  <c r="B57" i="4" s="1"/>
  <c r="A37" i="4"/>
  <c r="A57" i="4" s="1"/>
  <c r="B36" i="4"/>
  <c r="B56" i="4" s="1"/>
  <c r="A36" i="4"/>
  <c r="A56" i="4" s="1"/>
  <c r="B35" i="4"/>
  <c r="B55" i="4" s="1"/>
  <c r="A35" i="4"/>
  <c r="A55" i="4" s="1"/>
  <c r="B34" i="4"/>
  <c r="B54" i="4" s="1"/>
  <c r="A34" i="4"/>
  <c r="A54" i="4" s="1"/>
  <c r="B33" i="4"/>
  <c r="B53" i="4" s="1"/>
  <c r="A33" i="4"/>
  <c r="A53" i="4" s="1"/>
  <c r="B32" i="4"/>
  <c r="B52" i="4" s="1"/>
  <c r="A32" i="4"/>
  <c r="A52" i="4" s="1"/>
  <c r="B31" i="4"/>
  <c r="B51" i="4" s="1"/>
  <c r="A31" i="4"/>
  <c r="A51" i="4" s="1"/>
  <c r="B30" i="4"/>
  <c r="B50" i="4" s="1"/>
  <c r="A30" i="4"/>
  <c r="A50" i="4" s="1"/>
  <c r="B29" i="4"/>
  <c r="B49" i="4" s="1"/>
  <c r="A29" i="4"/>
  <c r="A49" i="4" s="1"/>
  <c r="B28" i="4"/>
  <c r="B48" i="4" s="1"/>
  <c r="A28" i="4"/>
  <c r="A48" i="4" s="1"/>
  <c r="B27" i="4"/>
  <c r="B47" i="4" s="1"/>
  <c r="A27" i="4"/>
  <c r="A47" i="4" s="1"/>
  <c r="B26" i="4"/>
  <c r="B46" i="4" s="1"/>
  <c r="A26" i="4"/>
  <c r="A46" i="4" s="1"/>
  <c r="B25" i="4"/>
  <c r="B45" i="4" s="1"/>
  <c r="A25" i="4"/>
  <c r="A45" i="4" s="1"/>
  <c r="B24" i="4"/>
  <c r="B44" i="4" s="1"/>
  <c r="A24" i="4"/>
  <c r="A44" i="4" s="1"/>
  <c r="B23" i="4"/>
  <c r="B43" i="4" s="1"/>
  <c r="A23" i="4"/>
  <c r="A43" i="4" s="1"/>
  <c r="B22" i="4"/>
  <c r="B42" i="4" s="1"/>
  <c r="A22" i="4"/>
  <c r="A42" i="4" s="1"/>
  <c r="B41" i="1"/>
  <c r="B61" i="1" s="1"/>
  <c r="A41" i="1"/>
  <c r="A61" i="1" s="1"/>
  <c r="B40" i="1"/>
  <c r="B60" i="1" s="1"/>
  <c r="A40" i="1"/>
  <c r="A60" i="1" s="1"/>
  <c r="B39" i="1"/>
  <c r="B59" i="1" s="1"/>
  <c r="A39" i="1"/>
  <c r="A59" i="1" s="1"/>
  <c r="B38" i="1"/>
  <c r="B58" i="1" s="1"/>
  <c r="A38" i="1"/>
  <c r="A58" i="1" s="1"/>
  <c r="B37" i="1"/>
  <c r="B57" i="1" s="1"/>
  <c r="A37" i="1"/>
  <c r="A57" i="1" s="1"/>
  <c r="B36" i="1"/>
  <c r="B56" i="1" s="1"/>
  <c r="A36" i="1"/>
  <c r="A56" i="1" s="1"/>
  <c r="B35" i="1"/>
  <c r="B55" i="1" s="1"/>
  <c r="A35" i="1"/>
  <c r="A55" i="1" s="1"/>
  <c r="B34" i="1"/>
  <c r="B54" i="1" s="1"/>
  <c r="A34" i="1"/>
  <c r="A54" i="1" s="1"/>
  <c r="B33" i="1"/>
  <c r="B53" i="1" s="1"/>
  <c r="A33" i="1"/>
  <c r="A53" i="1" s="1"/>
  <c r="B32" i="1"/>
  <c r="B52" i="1" s="1"/>
  <c r="A32" i="1"/>
  <c r="A52" i="1" s="1"/>
  <c r="B31" i="1"/>
  <c r="B51" i="1" s="1"/>
  <c r="A31" i="1"/>
  <c r="A51" i="1" s="1"/>
  <c r="B30" i="1"/>
  <c r="B50" i="1" s="1"/>
  <c r="A30" i="1"/>
  <c r="A50" i="1" s="1"/>
  <c r="B29" i="1"/>
  <c r="B49" i="1" s="1"/>
  <c r="A29" i="1"/>
  <c r="A49" i="1" s="1"/>
  <c r="B28" i="1"/>
  <c r="B48" i="1" s="1"/>
  <c r="A28" i="1"/>
  <c r="A48" i="1" s="1"/>
  <c r="B27" i="1"/>
  <c r="B47" i="1" s="1"/>
  <c r="A27" i="1"/>
  <c r="A47" i="1" s="1"/>
  <c r="B26" i="1"/>
  <c r="B46" i="1" s="1"/>
  <c r="A26" i="1"/>
  <c r="A46" i="1" s="1"/>
  <c r="B25" i="1"/>
  <c r="B45" i="1" s="1"/>
  <c r="A25" i="1"/>
  <c r="A45" i="1" s="1"/>
  <c r="B24" i="1"/>
  <c r="B44" i="1" s="1"/>
  <c r="A24" i="1"/>
  <c r="A44" i="1" s="1"/>
  <c r="B23" i="1"/>
  <c r="B43" i="1" s="1"/>
  <c r="A23" i="1"/>
  <c r="A43" i="1" s="1"/>
  <c r="B22" i="1"/>
  <c r="B42" i="1" s="1"/>
  <c r="A22" i="1"/>
  <c r="A42" i="1" s="1"/>
</calcChain>
</file>

<file path=xl/sharedStrings.xml><?xml version="1.0" encoding="utf-8"?>
<sst xmlns="http://schemas.openxmlformats.org/spreadsheetml/2006/main" count="109" uniqueCount="46">
  <si>
    <t>m</t>
  </si>
  <si>
    <t>n</t>
  </si>
  <si>
    <t>IC_ARL</t>
  </si>
  <si>
    <t>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</si>
  <si>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</si>
  <si>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</si>
  <si>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</si>
  <si>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</si>
  <si>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</si>
  <si>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</si>
  <si>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</si>
  <si>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</si>
  <si>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</si>
  <si>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</si>
  <si>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</si>
  <si>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</si>
  <si>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</si>
  <si>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</si>
  <si>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</si>
  <si>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</si>
  <si>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</si>
  <si>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</si>
  <si>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</si>
  <si>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</si>
  <si>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</si>
  <si>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</si>
  <si>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</si>
  <si>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</si>
  <si>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IC ARL</t>
  </si>
  <si>
    <t>Assumption Test</t>
  </si>
  <si>
    <t>Test</t>
  </si>
  <si>
    <t>Heteroscedasticity</t>
  </si>
  <si>
    <t xml:space="preserve">Breusch-Pagan Test </t>
  </si>
  <si>
    <t>Normality</t>
  </si>
  <si>
    <t xml:space="preserve"> Shapiro-Wilk Test</t>
  </si>
  <si>
    <t>Multicollinearity</t>
  </si>
  <si>
    <t>Variance Inflation Factor</t>
  </si>
  <si>
    <t>m: 1.000027</t>
  </si>
  <si>
    <t>n: 1.000007</t>
  </si>
  <si>
    <t xml:space="preserve">IC_ARL: 1.000034 </t>
  </si>
  <si>
    <t>Sample Sizes</t>
  </si>
  <si>
    <t>Not Satified</t>
  </si>
  <si>
    <t>Satisfied</t>
  </si>
  <si>
    <t>m: 1.000103</t>
  </si>
  <si>
    <t>n: 1.000002</t>
  </si>
  <si>
    <t xml:space="preserve">IC_ARL: 1.000105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</si>
</sst>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onsolas"/>
      <family val="3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0" fillId="0" borderId="1" xfId="0" applyNumberFormat="1" applyFill="1" applyBorder="1" applyAlignment="1"/>
    <xf numFmtId="0" fontId="0" fillId="0" borderId="1" xfId="0" applyNumberForma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0" fontId="0" fillId="0" borderId="1" xfId="0" applyNumberFormat="1" applyFill="1" applyBorder="1" applyAlignment="1"/>
    <xf numFmtId="2" fontId="3" fillId="0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</xdr:row>
      <xdr:rowOff>0</xdr:rowOff>
    </xdr:from>
    <xdr:to>
      <xdr:col>26</xdr:col>
      <xdr:colOff>551695</xdr:colOff>
      <xdr:row>36</xdr:row>
      <xdr:rowOff>176411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6BA4-4CE7-3183-5010-CD2C8BA5E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6960" y="731520"/>
          <a:ext cx="6038095" cy="60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11</xdr:row>
      <xdr:rowOff>0</xdr:rowOff>
    </xdr:from>
    <xdr:to>
      <xdr:col>29</xdr:col>
      <xdr:colOff>551695</xdr:colOff>
      <xdr:row>41</xdr:row>
      <xdr:rowOff>84971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0CB8E4-5F1C-F58F-C0F5-601CF95D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5760" y="2164080"/>
          <a:ext cx="6038095" cy="6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070E-BC55-4FF9-A76B-526DB40F3B62}">
  <dimension ref="A1:O61"/>
  <sheetViews>
    <sheetView tabSelected="1" topLeftCell="A18" workbookViewId="0">
      <selection activeCell="J29" sqref="J29"/>
    </sheetView>
  </sheetViews>
  <sheetFormatPr defaultRowHeight="14.4" x14ac:dyDescent="0.3"/>
  <cols>
    <col min="1" max="4" width="8.88671875" style="2"/>
    <col min="7" max="7" width="19.21875" style="2" customWidth="1"/>
    <col min="8" max="8" width="21.44140625" style="2" bestFit="1" customWidth="1"/>
    <col min="9" max="9" width="15.88671875" style="2" bestFit="1" customWidth="1"/>
    <col min="10" max="11" width="12" style="2" bestFit="1" customWidth="1"/>
    <col min="12" max="12" width="13.44140625" style="2" bestFit="1" customWidth="1"/>
    <col min="13" max="13" width="10.88671875" style="2" bestFit="1" customWidth="1"/>
    <col min="14" max="15" width="12.44140625" style="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1">
        <v>100</v>
      </c>
      <c r="B2" s="1">
        <v>5</v>
      </c>
      <c r="C2" s="1">
        <v>250.07470000000001</v>
      </c>
      <c r="D2" s="1">
        <v>10.45</v>
      </c>
    </row>
    <row r="3" spans="1:12" x14ac:dyDescent="0.3">
      <c r="A3" s="1">
        <v>100</v>
      </c>
      <c r="B3" s="1">
        <v>10</v>
      </c>
      <c r="C3" s="1">
        <v>248.27719999999999</v>
      </c>
      <c r="D3" s="1">
        <v>10</v>
      </c>
    </row>
    <row r="4" spans="1:12" x14ac:dyDescent="0.3">
      <c r="A4" s="1">
        <v>100</v>
      </c>
      <c r="B4" s="1">
        <v>15</v>
      </c>
      <c r="C4" s="1">
        <v>246.75299999999999</v>
      </c>
      <c r="D4" s="1">
        <v>9.75</v>
      </c>
      <c r="G4" s="2" t="s">
        <v>4</v>
      </c>
    </row>
    <row r="5" spans="1:12" x14ac:dyDescent="0.3">
      <c r="A5" s="1">
        <v>100</v>
      </c>
      <c r="B5" s="1">
        <v>20</v>
      </c>
      <c r="C5" s="1">
        <v>245.79339999999999</v>
      </c>
      <c r="D5" s="1">
        <v>9.6</v>
      </c>
    </row>
    <row r="6" spans="1:12" x14ac:dyDescent="0.3">
      <c r="A6" s="1">
        <v>100</v>
      </c>
      <c r="B6" s="1">
        <v>25</v>
      </c>
      <c r="C6" s="1">
        <v>256.80689999999998</v>
      </c>
      <c r="D6" s="1">
        <v>9.5</v>
      </c>
      <c r="G6" s="3" t="s">
        <v>5</v>
      </c>
      <c r="H6" s="3"/>
    </row>
    <row r="7" spans="1:12" x14ac:dyDescent="0.3">
      <c r="A7" s="1">
        <v>125</v>
      </c>
      <c r="B7" s="1">
        <v>5</v>
      </c>
      <c r="C7" s="1">
        <v>255.57320000000001</v>
      </c>
      <c r="D7" s="1">
        <v>10.7</v>
      </c>
      <c r="G7" s="1" t="s">
        <v>6</v>
      </c>
      <c r="H7" s="4">
        <v>0.98213929677063716</v>
      </c>
    </row>
    <row r="8" spans="1:12" x14ac:dyDescent="0.3">
      <c r="A8" s="1">
        <v>125</v>
      </c>
      <c r="B8" s="1">
        <v>10</v>
      </c>
      <c r="C8" s="1">
        <v>252.90289999999999</v>
      </c>
      <c r="D8" s="1">
        <v>10.25</v>
      </c>
      <c r="G8" s="1" t="s">
        <v>7</v>
      </c>
      <c r="H8" s="4">
        <v>0.96459759826112179</v>
      </c>
    </row>
    <row r="9" spans="1:12" x14ac:dyDescent="0.3">
      <c r="A9" s="1">
        <v>125</v>
      </c>
      <c r="B9" s="1">
        <v>15</v>
      </c>
      <c r="C9" s="1">
        <v>250.7072</v>
      </c>
      <c r="D9" s="1">
        <v>10.050000000000001</v>
      </c>
      <c r="G9" s="1" t="s">
        <v>8</v>
      </c>
      <c r="H9" s="4">
        <v>0.96270104102511045</v>
      </c>
    </row>
    <row r="10" spans="1:12" x14ac:dyDescent="0.3">
      <c r="A10" s="1">
        <v>125</v>
      </c>
      <c r="B10" s="1">
        <v>20</v>
      </c>
      <c r="C10" s="1">
        <v>246.35290000000001</v>
      </c>
      <c r="D10" s="1">
        <v>9.85</v>
      </c>
      <c r="G10" s="1" t="s">
        <v>9</v>
      </c>
      <c r="H10" s="5">
        <v>0.1409351728844325</v>
      </c>
    </row>
    <row r="11" spans="1:12" x14ac:dyDescent="0.3">
      <c r="A11" s="1">
        <v>125</v>
      </c>
      <c r="B11" s="1">
        <v>25</v>
      </c>
      <c r="C11" s="1">
        <v>250.8844</v>
      </c>
      <c r="D11" s="1">
        <v>9.75</v>
      </c>
      <c r="G11" s="1" t="s">
        <v>10</v>
      </c>
      <c r="H11" s="1">
        <v>60</v>
      </c>
    </row>
    <row r="12" spans="1:12" x14ac:dyDescent="0.3">
      <c r="A12" s="1">
        <v>150</v>
      </c>
      <c r="B12" s="1">
        <v>5</v>
      </c>
      <c r="C12" s="1">
        <v>253.87880000000001</v>
      </c>
      <c r="D12" s="1">
        <v>10.85</v>
      </c>
    </row>
    <row r="13" spans="1:12" x14ac:dyDescent="0.3">
      <c r="A13" s="1">
        <v>150</v>
      </c>
      <c r="B13" s="1">
        <v>10</v>
      </c>
      <c r="C13" s="1">
        <v>249.2807</v>
      </c>
      <c r="D13" s="1">
        <v>10.4</v>
      </c>
      <c r="G13" s="2" t="s">
        <v>11</v>
      </c>
    </row>
    <row r="14" spans="1:12" x14ac:dyDescent="0.3">
      <c r="A14" s="1">
        <v>150</v>
      </c>
      <c r="B14" s="1">
        <v>15</v>
      </c>
      <c r="C14" s="1">
        <v>248.06479999999999</v>
      </c>
      <c r="D14" s="1">
        <v>10.199999999999999</v>
      </c>
      <c r="G14" s="6"/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</row>
    <row r="15" spans="1:12" x14ac:dyDescent="0.3">
      <c r="A15" s="1">
        <v>150</v>
      </c>
      <c r="B15" s="1">
        <v>20</v>
      </c>
      <c r="C15" s="1">
        <v>245.9033</v>
      </c>
      <c r="D15" s="1">
        <v>10.050000000000001</v>
      </c>
      <c r="G15" s="7" t="s">
        <v>17</v>
      </c>
      <c r="H15" s="7">
        <v>3</v>
      </c>
      <c r="I15" s="7">
        <v>30.306812514465971</v>
      </c>
      <c r="J15" s="7">
        <v>10.102270838155324</v>
      </c>
      <c r="K15" s="7">
        <v>508.60452821860252</v>
      </c>
      <c r="L15" s="7">
        <v>1.4032859323926499E-40</v>
      </c>
    </row>
    <row r="16" spans="1:12" x14ac:dyDescent="0.3">
      <c r="A16" s="1">
        <v>150</v>
      </c>
      <c r="B16" s="1">
        <v>25</v>
      </c>
      <c r="C16" s="1">
        <v>251.96899999999999</v>
      </c>
      <c r="D16" s="1">
        <v>9.9499999999999993</v>
      </c>
      <c r="G16" s="7" t="s">
        <v>18</v>
      </c>
      <c r="H16" s="7">
        <v>56</v>
      </c>
      <c r="I16" s="7">
        <v>1.1123124855340332</v>
      </c>
      <c r="J16" s="7">
        <v>1.9862722955964879E-2</v>
      </c>
      <c r="K16" s="7"/>
      <c r="L16" s="7"/>
    </row>
    <row r="17" spans="1:15" x14ac:dyDescent="0.3">
      <c r="A17" s="1">
        <v>200</v>
      </c>
      <c r="B17" s="1">
        <v>5</v>
      </c>
      <c r="C17" s="1">
        <v>258.4289</v>
      </c>
      <c r="D17" s="1">
        <v>11.1</v>
      </c>
      <c r="G17" s="7" t="s">
        <v>19</v>
      </c>
      <c r="H17" s="7">
        <v>59</v>
      </c>
      <c r="I17" s="7">
        <v>31.419125000000005</v>
      </c>
      <c r="J17" s="7"/>
      <c r="K17" s="7"/>
      <c r="L17" s="7"/>
    </row>
    <row r="18" spans="1:15" x14ac:dyDescent="0.3">
      <c r="A18" s="1">
        <v>200</v>
      </c>
      <c r="B18" s="1">
        <v>10</v>
      </c>
      <c r="C18" s="1">
        <v>251.33349999999999</v>
      </c>
      <c r="D18" s="1">
        <v>10.65</v>
      </c>
    </row>
    <row r="19" spans="1:15" x14ac:dyDescent="0.3">
      <c r="A19" s="1">
        <v>200</v>
      </c>
      <c r="B19" s="1">
        <v>15</v>
      </c>
      <c r="C19" s="1">
        <v>246.94970000000001</v>
      </c>
      <c r="D19" s="1">
        <v>10.45</v>
      </c>
      <c r="G19" s="8"/>
      <c r="H19" s="8" t="s">
        <v>20</v>
      </c>
      <c r="I19" s="8" t="s">
        <v>9</v>
      </c>
      <c r="J19" s="8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 t="s">
        <v>26</v>
      </c>
    </row>
    <row r="20" spans="1:15" x14ac:dyDescent="0.3">
      <c r="A20" s="1">
        <v>200</v>
      </c>
      <c r="B20" s="1">
        <v>20</v>
      </c>
      <c r="C20" s="1">
        <v>243.64150000000001</v>
      </c>
      <c r="D20" s="1">
        <v>10.3</v>
      </c>
      <c r="G20" s="9" t="s">
        <v>27</v>
      </c>
      <c r="H20" s="10">
        <v>8.6705023326775343</v>
      </c>
      <c r="I20" s="10">
        <v>0.10520709325777286</v>
      </c>
      <c r="J20" s="10">
        <v>82.413666837401621</v>
      </c>
      <c r="K20" s="10">
        <v>3.811414656904255E-60</v>
      </c>
      <c r="L20" s="10">
        <v>8.4597471995519378</v>
      </c>
      <c r="M20" s="10">
        <v>8.8812574658031309</v>
      </c>
      <c r="N20" s="10">
        <v>8.4597471995519378</v>
      </c>
      <c r="O20" s="10">
        <v>8.8812574658031309</v>
      </c>
    </row>
    <row r="21" spans="1:15" x14ac:dyDescent="0.3">
      <c r="A21" s="1">
        <v>200</v>
      </c>
      <c r="B21" s="1">
        <v>25</v>
      </c>
      <c r="C21" s="1">
        <v>249.23249999999999</v>
      </c>
      <c r="D21" s="1">
        <v>10.199999999999999</v>
      </c>
      <c r="G21" s="9" t="s">
        <v>0</v>
      </c>
      <c r="H21" s="10">
        <v>7.5705899666501236E-3</v>
      </c>
      <c r="I21" s="10">
        <v>4.9207989481830797E-4</v>
      </c>
      <c r="J21" s="10">
        <v>15.384879663586812</v>
      </c>
      <c r="K21" s="10">
        <v>9.1184726493343876E-22</v>
      </c>
      <c r="L21" s="10">
        <v>6.584835484423711E-3</v>
      </c>
      <c r="M21" s="10">
        <v>8.5563444488765371E-3</v>
      </c>
      <c r="N21" s="10">
        <v>6.584835484423711E-3</v>
      </c>
      <c r="O21" s="10">
        <v>8.5563444488765371E-3</v>
      </c>
    </row>
    <row r="22" spans="1:15" x14ac:dyDescent="0.3">
      <c r="A22" s="1">
        <f t="shared" ref="A22:B37" si="0">A2</f>
        <v>100</v>
      </c>
      <c r="B22" s="1">
        <f t="shared" si="0"/>
        <v>5</v>
      </c>
      <c r="C22" s="1">
        <v>366.61410000000001</v>
      </c>
      <c r="D22" s="1">
        <v>11.25</v>
      </c>
      <c r="G22" s="9" t="s">
        <v>1</v>
      </c>
      <c r="H22" s="10">
        <v>-5.287977824265358E-2</v>
      </c>
      <c r="I22" s="10">
        <v>2.5731218197899411E-3</v>
      </c>
      <c r="J22" s="10">
        <v>-20.550825785220873</v>
      </c>
      <c r="K22" s="10">
        <v>9.3043276971195081E-28</v>
      </c>
      <c r="L22" s="10">
        <v>-5.8034360646612729E-2</v>
      </c>
      <c r="M22" s="10">
        <v>-4.7725195838694431E-2</v>
      </c>
      <c r="N22" s="10">
        <v>-5.8034360646612729E-2</v>
      </c>
      <c r="O22" s="10">
        <v>-4.7725195838694431E-2</v>
      </c>
    </row>
    <row r="23" spans="1:15" x14ac:dyDescent="0.3">
      <c r="A23" s="1">
        <f t="shared" si="0"/>
        <v>100</v>
      </c>
      <c r="B23" s="1">
        <f t="shared" si="0"/>
        <v>10</v>
      </c>
      <c r="C23" s="1">
        <v>376.40980000000002</v>
      </c>
      <c r="D23" s="1">
        <v>10.75</v>
      </c>
      <c r="G23" s="9" t="s">
        <v>28</v>
      </c>
      <c r="H23" s="10">
        <v>5.1025691609080295E-3</v>
      </c>
      <c r="I23" s="10">
        <v>1.7411825172684297E-4</v>
      </c>
      <c r="J23" s="10">
        <v>29.305194086791943</v>
      </c>
      <c r="K23" s="10">
        <v>1.178540070041032E-35</v>
      </c>
      <c r="L23" s="10">
        <v>4.7537683891542134E-3</v>
      </c>
      <c r="M23" s="10">
        <v>5.4513699326618455E-3</v>
      </c>
      <c r="N23" s="10">
        <v>4.7537683891542134E-3</v>
      </c>
      <c r="O23" s="10">
        <v>5.4513699326618455E-3</v>
      </c>
    </row>
    <row r="24" spans="1:15" x14ac:dyDescent="0.3">
      <c r="A24" s="1">
        <f t="shared" si="0"/>
        <v>100</v>
      </c>
      <c r="B24" s="1">
        <f t="shared" si="0"/>
        <v>15</v>
      </c>
      <c r="C24" s="1">
        <v>372.49169999999998</v>
      </c>
      <c r="D24" s="1">
        <v>10.45</v>
      </c>
    </row>
    <row r="25" spans="1:15" x14ac:dyDescent="0.3">
      <c r="A25" s="1">
        <f t="shared" si="0"/>
        <v>100</v>
      </c>
      <c r="B25" s="1">
        <f t="shared" si="0"/>
        <v>20</v>
      </c>
      <c r="C25" s="1">
        <v>378.69650000000001</v>
      </c>
      <c r="D25" s="1">
        <v>10.25</v>
      </c>
    </row>
    <row r="26" spans="1:15" x14ac:dyDescent="0.3">
      <c r="A26" s="1">
        <f t="shared" si="0"/>
        <v>100</v>
      </c>
      <c r="B26" s="1">
        <f t="shared" si="0"/>
        <v>25</v>
      </c>
      <c r="C26" s="1">
        <v>369.66019999999997</v>
      </c>
      <c r="D26" s="1">
        <v>10.050000000000001</v>
      </c>
      <c r="G26" s="1" t="s">
        <v>29</v>
      </c>
      <c r="H26" s="1" t="s">
        <v>30</v>
      </c>
      <c r="I26" s="1" t="s">
        <v>22</v>
      </c>
    </row>
    <row r="27" spans="1:15" x14ac:dyDescent="0.3">
      <c r="A27" s="1">
        <f t="shared" si="0"/>
        <v>125</v>
      </c>
      <c r="B27" s="1">
        <f t="shared" si="0"/>
        <v>5</v>
      </c>
      <c r="C27" s="1">
        <v>371.96120000000002</v>
      </c>
      <c r="D27" s="1">
        <v>11.5</v>
      </c>
      <c r="G27" s="1" t="s">
        <v>31</v>
      </c>
      <c r="H27" s="1" t="s">
        <v>32</v>
      </c>
      <c r="I27" s="1">
        <v>0.12909999999999999</v>
      </c>
      <c r="J27" s="2" t="s">
        <v>42</v>
      </c>
    </row>
    <row r="28" spans="1:15" x14ac:dyDescent="0.3">
      <c r="A28" s="1">
        <f t="shared" si="0"/>
        <v>125</v>
      </c>
      <c r="B28" s="1">
        <f t="shared" si="0"/>
        <v>10</v>
      </c>
      <c r="C28" s="1">
        <v>369.02620000000002</v>
      </c>
      <c r="D28" s="1">
        <v>11</v>
      </c>
      <c r="G28" s="1" t="s">
        <v>33</v>
      </c>
      <c r="H28" s="1" t="s">
        <v>34</v>
      </c>
      <c r="I28" s="1">
        <v>0.60360000000000003</v>
      </c>
      <c r="J28" s="2" t="s">
        <v>42</v>
      </c>
    </row>
    <row r="29" spans="1:15" x14ac:dyDescent="0.3">
      <c r="A29" s="1">
        <f t="shared" si="0"/>
        <v>125</v>
      </c>
      <c r="B29" s="1">
        <f t="shared" si="0"/>
        <v>15</v>
      </c>
      <c r="C29" s="1">
        <v>371.40649999999999</v>
      </c>
      <c r="D29" s="1">
        <v>10.75</v>
      </c>
      <c r="G29" s="11" t="s">
        <v>35</v>
      </c>
      <c r="H29" s="11" t="s">
        <v>36</v>
      </c>
      <c r="I29" s="1" t="s">
        <v>37</v>
      </c>
    </row>
    <row r="30" spans="1:15" x14ac:dyDescent="0.3">
      <c r="A30" s="1">
        <f t="shared" si="0"/>
        <v>125</v>
      </c>
      <c r="B30" s="1">
        <f t="shared" si="0"/>
        <v>20</v>
      </c>
      <c r="C30" s="1">
        <v>377.20479999999998</v>
      </c>
      <c r="D30" s="1">
        <v>10.55</v>
      </c>
      <c r="G30" s="13"/>
      <c r="H30" s="13"/>
      <c r="I30" s="1" t="s">
        <v>38</v>
      </c>
      <c r="J30" s="2" t="s">
        <v>42</v>
      </c>
    </row>
    <row r="31" spans="1:15" x14ac:dyDescent="0.3">
      <c r="A31" s="1">
        <f t="shared" si="0"/>
        <v>125</v>
      </c>
      <c r="B31" s="1">
        <f t="shared" si="0"/>
        <v>25</v>
      </c>
      <c r="C31" s="1">
        <v>366.31700000000001</v>
      </c>
      <c r="D31" s="1">
        <v>10.35</v>
      </c>
      <c r="G31" s="12"/>
      <c r="H31" s="12"/>
      <c r="I31" s="1" t="s">
        <v>39</v>
      </c>
    </row>
    <row r="32" spans="1:15" x14ac:dyDescent="0.3">
      <c r="A32" s="1">
        <f t="shared" si="0"/>
        <v>150</v>
      </c>
      <c r="B32" s="1">
        <f t="shared" si="0"/>
        <v>5</v>
      </c>
      <c r="C32" s="1">
        <v>367.00580000000002</v>
      </c>
      <c r="D32" s="1">
        <v>11.7</v>
      </c>
    </row>
    <row r="33" spans="1:4" x14ac:dyDescent="0.3">
      <c r="A33" s="1">
        <f t="shared" si="0"/>
        <v>150</v>
      </c>
      <c r="B33" s="1">
        <f t="shared" si="0"/>
        <v>10</v>
      </c>
      <c r="C33" s="1">
        <v>371.41370000000001</v>
      </c>
      <c r="D33" s="1">
        <v>11.200000000000001</v>
      </c>
    </row>
    <row r="34" spans="1:4" x14ac:dyDescent="0.3">
      <c r="A34" s="1">
        <f t="shared" si="0"/>
        <v>150</v>
      </c>
      <c r="B34" s="1">
        <f t="shared" si="0"/>
        <v>15</v>
      </c>
      <c r="C34" s="1">
        <v>368.30880000000002</v>
      </c>
      <c r="D34" s="1">
        <v>10.950000000000001</v>
      </c>
    </row>
    <row r="35" spans="1:4" x14ac:dyDescent="0.3">
      <c r="A35" s="1">
        <f t="shared" si="0"/>
        <v>150</v>
      </c>
      <c r="B35" s="1">
        <f t="shared" si="0"/>
        <v>20</v>
      </c>
      <c r="C35" s="1">
        <v>364.84</v>
      </c>
      <c r="D35" s="1">
        <v>10.750000000000002</v>
      </c>
    </row>
    <row r="36" spans="1:4" x14ac:dyDescent="0.3">
      <c r="A36" s="1">
        <f t="shared" si="0"/>
        <v>150</v>
      </c>
      <c r="B36" s="1">
        <f t="shared" si="0"/>
        <v>25</v>
      </c>
      <c r="C36" s="1">
        <v>376.1669</v>
      </c>
      <c r="D36" s="1">
        <v>10.6</v>
      </c>
    </row>
    <row r="37" spans="1:4" x14ac:dyDescent="0.3">
      <c r="A37" s="1">
        <f t="shared" si="0"/>
        <v>200</v>
      </c>
      <c r="B37" s="1">
        <f t="shared" si="0"/>
        <v>5</v>
      </c>
      <c r="C37" s="1">
        <v>372.33159999999998</v>
      </c>
      <c r="D37" s="1">
        <v>11.95</v>
      </c>
    </row>
    <row r="38" spans="1:4" x14ac:dyDescent="0.3">
      <c r="A38" s="1">
        <f t="shared" ref="A38:B53" si="1">A18</f>
        <v>200</v>
      </c>
      <c r="B38" s="1">
        <f t="shared" si="1"/>
        <v>10</v>
      </c>
      <c r="C38" s="1">
        <v>376.25380000000001</v>
      </c>
      <c r="D38" s="1">
        <v>11.5</v>
      </c>
    </row>
    <row r="39" spans="1:4" x14ac:dyDescent="0.3">
      <c r="A39" s="1">
        <f t="shared" si="1"/>
        <v>200</v>
      </c>
      <c r="B39" s="1">
        <f t="shared" si="1"/>
        <v>15</v>
      </c>
      <c r="C39" s="1">
        <v>362.49160000000001</v>
      </c>
      <c r="D39" s="1">
        <v>11.200000000000001</v>
      </c>
    </row>
    <row r="40" spans="1:4" x14ac:dyDescent="0.3">
      <c r="A40" s="1">
        <f t="shared" si="1"/>
        <v>200</v>
      </c>
      <c r="B40" s="1">
        <f t="shared" si="1"/>
        <v>20</v>
      </c>
      <c r="C40" s="1">
        <v>374.63010000000003</v>
      </c>
      <c r="D40" s="1">
        <v>11.05</v>
      </c>
    </row>
    <row r="41" spans="1:4" x14ac:dyDescent="0.3">
      <c r="A41" s="1">
        <f t="shared" si="1"/>
        <v>200</v>
      </c>
      <c r="B41" s="1">
        <f t="shared" si="1"/>
        <v>25</v>
      </c>
      <c r="C41" s="1">
        <v>371.11590000000001</v>
      </c>
      <c r="D41" s="1">
        <v>10.9</v>
      </c>
    </row>
    <row r="42" spans="1:4" x14ac:dyDescent="0.3">
      <c r="A42" s="1">
        <f t="shared" si="1"/>
        <v>100</v>
      </c>
      <c r="B42" s="1">
        <f t="shared" si="1"/>
        <v>5</v>
      </c>
      <c r="C42" s="1">
        <v>504.91079999999999</v>
      </c>
      <c r="D42" s="1">
        <v>11.85</v>
      </c>
    </row>
    <row r="43" spans="1:4" x14ac:dyDescent="0.3">
      <c r="A43" s="1">
        <f t="shared" si="1"/>
        <v>100</v>
      </c>
      <c r="B43" s="1">
        <f t="shared" si="1"/>
        <v>10</v>
      </c>
      <c r="C43" s="1">
        <v>505.50599999999997</v>
      </c>
      <c r="D43" s="1">
        <v>11.25</v>
      </c>
    </row>
    <row r="44" spans="1:4" x14ac:dyDescent="0.3">
      <c r="A44" s="1">
        <f t="shared" si="1"/>
        <v>100</v>
      </c>
      <c r="B44" s="1">
        <f t="shared" si="1"/>
        <v>15</v>
      </c>
      <c r="C44" s="1">
        <v>505.98169999999999</v>
      </c>
      <c r="D44" s="1">
        <v>10.95</v>
      </c>
    </row>
    <row r="45" spans="1:4" x14ac:dyDescent="0.3">
      <c r="A45" s="1">
        <f t="shared" si="1"/>
        <v>100</v>
      </c>
      <c r="B45" s="1">
        <f t="shared" si="1"/>
        <v>20</v>
      </c>
      <c r="C45" s="1">
        <v>505.5453</v>
      </c>
      <c r="D45" s="1">
        <v>10.75</v>
      </c>
    </row>
    <row r="46" spans="1:4" x14ac:dyDescent="0.3">
      <c r="A46" s="1">
        <f t="shared" si="1"/>
        <v>100</v>
      </c>
      <c r="B46" s="1">
        <f t="shared" si="1"/>
        <v>25</v>
      </c>
      <c r="C46" s="1">
        <v>509.19479999999999</v>
      </c>
      <c r="D46" s="1">
        <v>10.55</v>
      </c>
    </row>
    <row r="47" spans="1:4" x14ac:dyDescent="0.3">
      <c r="A47" s="1">
        <f t="shared" si="1"/>
        <v>125</v>
      </c>
      <c r="B47" s="1">
        <f t="shared" si="1"/>
        <v>5</v>
      </c>
      <c r="C47" s="1">
        <v>498.42509999999999</v>
      </c>
      <c r="D47" s="1">
        <v>12.1</v>
      </c>
    </row>
    <row r="48" spans="1:4" x14ac:dyDescent="0.3">
      <c r="A48" s="1">
        <f t="shared" si="1"/>
        <v>125</v>
      </c>
      <c r="B48" s="1">
        <f t="shared" si="1"/>
        <v>10</v>
      </c>
      <c r="C48" s="1">
        <v>502.7106</v>
      </c>
      <c r="D48" s="1">
        <v>11.55</v>
      </c>
    </row>
    <row r="49" spans="1:4" x14ac:dyDescent="0.3">
      <c r="A49" s="1">
        <f t="shared" si="1"/>
        <v>125</v>
      </c>
      <c r="B49" s="1">
        <f t="shared" si="1"/>
        <v>15</v>
      </c>
      <c r="C49" s="1">
        <v>490.82619999999997</v>
      </c>
      <c r="D49" s="1">
        <v>11.25</v>
      </c>
    </row>
    <row r="50" spans="1:4" x14ac:dyDescent="0.3">
      <c r="A50" s="1">
        <f t="shared" si="1"/>
        <v>125</v>
      </c>
      <c r="B50" s="1">
        <f t="shared" si="1"/>
        <v>20</v>
      </c>
      <c r="C50" s="1">
        <v>500.26740000000001</v>
      </c>
      <c r="D50" s="1">
        <v>11.05</v>
      </c>
    </row>
    <row r="51" spans="1:4" x14ac:dyDescent="0.3">
      <c r="A51" s="1">
        <f t="shared" si="1"/>
        <v>125</v>
      </c>
      <c r="B51" s="1">
        <f t="shared" si="1"/>
        <v>25</v>
      </c>
      <c r="C51" s="1">
        <v>502.49889999999999</v>
      </c>
      <c r="D51" s="1">
        <v>10.85</v>
      </c>
    </row>
    <row r="52" spans="1:4" x14ac:dyDescent="0.3">
      <c r="A52" s="1">
        <f t="shared" si="1"/>
        <v>150</v>
      </c>
      <c r="B52" s="1">
        <f t="shared" si="1"/>
        <v>5</v>
      </c>
      <c r="C52" s="1">
        <v>508.04450000000003</v>
      </c>
      <c r="D52" s="1">
        <v>12.4</v>
      </c>
    </row>
    <row r="53" spans="1:4" x14ac:dyDescent="0.3">
      <c r="A53" s="1">
        <f t="shared" si="1"/>
        <v>150</v>
      </c>
      <c r="B53" s="1">
        <f t="shared" si="1"/>
        <v>10</v>
      </c>
      <c r="C53" s="1">
        <v>509.5566</v>
      </c>
      <c r="D53" s="1">
        <v>11.85</v>
      </c>
    </row>
    <row r="54" spans="1:4" x14ac:dyDescent="0.3">
      <c r="A54" s="1">
        <f t="shared" ref="A54:B61" si="2">A34</f>
        <v>150</v>
      </c>
      <c r="B54" s="1">
        <f t="shared" si="2"/>
        <v>15</v>
      </c>
      <c r="C54" s="1">
        <v>505.1798</v>
      </c>
      <c r="D54" s="1">
        <v>11.5</v>
      </c>
    </row>
    <row r="55" spans="1:4" x14ac:dyDescent="0.3">
      <c r="A55" s="1">
        <f t="shared" si="2"/>
        <v>150</v>
      </c>
      <c r="B55" s="1">
        <f t="shared" si="2"/>
        <v>20</v>
      </c>
      <c r="C55" s="1">
        <v>510.44</v>
      </c>
      <c r="D55" s="1">
        <v>11.35</v>
      </c>
    </row>
    <row r="56" spans="1:4" x14ac:dyDescent="0.3">
      <c r="A56" s="1">
        <f t="shared" si="2"/>
        <v>150</v>
      </c>
      <c r="B56" s="1">
        <f t="shared" si="2"/>
        <v>25</v>
      </c>
      <c r="C56" s="1">
        <v>508.01620000000003</v>
      </c>
      <c r="D56" s="1">
        <v>11.15</v>
      </c>
    </row>
    <row r="57" spans="1:4" x14ac:dyDescent="0.3">
      <c r="A57" s="1">
        <f t="shared" si="2"/>
        <v>200</v>
      </c>
      <c r="B57" s="1">
        <f t="shared" si="2"/>
        <v>5</v>
      </c>
      <c r="C57" s="1">
        <v>516.69680000000005</v>
      </c>
      <c r="D57" s="1">
        <v>12.75</v>
      </c>
    </row>
    <row r="58" spans="1:4" x14ac:dyDescent="0.3">
      <c r="A58" s="1">
        <f t="shared" si="2"/>
        <v>200</v>
      </c>
      <c r="B58" s="1">
        <f t="shared" si="2"/>
        <v>10</v>
      </c>
      <c r="C58" s="1">
        <v>516.10239999999999</v>
      </c>
      <c r="D58" s="1">
        <v>12.15</v>
      </c>
    </row>
    <row r="59" spans="1:4" x14ac:dyDescent="0.3">
      <c r="A59" s="1">
        <f t="shared" si="2"/>
        <v>200</v>
      </c>
      <c r="B59" s="1">
        <f t="shared" si="2"/>
        <v>15</v>
      </c>
      <c r="C59" s="1">
        <v>490.02530000000002</v>
      </c>
      <c r="D59" s="1">
        <v>11.75</v>
      </c>
    </row>
    <row r="60" spans="1:4" x14ac:dyDescent="0.3">
      <c r="A60" s="1">
        <f t="shared" si="2"/>
        <v>200</v>
      </c>
      <c r="B60" s="1">
        <f t="shared" si="2"/>
        <v>20</v>
      </c>
      <c r="C60" s="1">
        <v>511.48340000000002</v>
      </c>
      <c r="D60" s="1">
        <v>11.65</v>
      </c>
    </row>
    <row r="61" spans="1:4" x14ac:dyDescent="0.3">
      <c r="A61" s="1">
        <f t="shared" si="2"/>
        <v>200</v>
      </c>
      <c r="B61" s="1">
        <f t="shared" si="2"/>
        <v>25</v>
      </c>
      <c r="C61" s="1">
        <v>512.10239999999999</v>
      </c>
      <c r="D61" s="1">
        <v>11.5</v>
      </c>
    </row>
  </sheetData>
  <mergeCells count="2">
    <mergeCell ref="G29:G31"/>
    <mergeCell ref="H29:H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7C1E-4AAB-494D-A355-492F519809F2}">
  <dimension ref="A1:O61"/>
  <sheetViews>
    <sheetView topLeftCell="A24" workbookViewId="0">
      <selection activeCell="J27" sqref="J27:J30"/>
    </sheetView>
  </sheetViews>
  <sheetFormatPr defaultRowHeight="14.4" x14ac:dyDescent="0.3"/>
  <cols>
    <col min="1" max="4" width="8.88671875" style="2"/>
    <col min="7" max="7" width="19.21875" style="2" customWidth="1"/>
    <col min="8" max="8" width="21.44140625" style="2" bestFit="1" customWidth="1"/>
    <col min="9" max="9" width="15.88671875" style="2" bestFit="1" customWidth="1"/>
    <col min="10" max="11" width="12" style="2" bestFit="1" customWidth="1"/>
    <col min="12" max="12" width="13.44140625" style="2" bestFit="1" customWidth="1"/>
    <col min="13" max="13" width="10.88671875" style="2" bestFit="1" customWidth="1"/>
    <col min="14" max="15" width="12.44140625" style="2" bestFit="1" customWidth="1"/>
  </cols>
  <sheetData>
    <row r="1" spans="1:15" x14ac:dyDescent="0.3">
      <c r="A1" s="22" t="s">
        <v>0</v>
      </c>
      <c r="B1" s="22" t="s">
        <v>1</v>
      </c>
      <c r="C1" s="22" t="s">
        <v>2</v>
      </c>
      <c r="D1" s="22" t="s">
        <v>3</v>
      </c>
    </row>
    <row r="2" spans="1:15" ht="15.6" x14ac:dyDescent="0.3">
      <c r="A2" s="1">
        <v>100</v>
      </c>
      <c r="B2" s="1">
        <v>5</v>
      </c>
      <c r="C2" s="30">
        <v>252.7936</v>
      </c>
      <c r="D2" s="1">
        <v>11.05</v>
      </c>
    </row>
    <row r="3" spans="1:15" ht="15.6" x14ac:dyDescent="0.3">
      <c r="A3" s="1">
        <v>100</v>
      </c>
      <c r="B3" s="1">
        <v>10</v>
      </c>
      <c r="C3" s="30">
        <v>249.3304</v>
      </c>
      <c r="D3" s="1">
        <v>9.75</v>
      </c>
    </row>
    <row r="4" spans="1:15" ht="15.6" x14ac:dyDescent="0.3">
      <c r="A4" s="1">
        <v>100</v>
      </c>
      <c r="B4" s="1">
        <v>15</v>
      </c>
      <c r="C4" s="30">
        <v>247.8348</v>
      </c>
      <c r="D4" s="1">
        <v>9.4499999999999993</v>
      </c>
      <c r="G4" t="s">
        <v>4</v>
      </c>
      <c r="H4"/>
      <c r="I4"/>
      <c r="J4"/>
      <c r="K4"/>
      <c r="L4"/>
      <c r="M4"/>
      <c r="N4"/>
      <c r="O4"/>
    </row>
    <row r="5" spans="1:15" ht="15.6" x14ac:dyDescent="0.3">
      <c r="A5" s="1">
        <v>100</v>
      </c>
      <c r="B5" s="1">
        <v>20</v>
      </c>
      <c r="C5" s="30">
        <v>247.85429999999999</v>
      </c>
      <c r="D5" s="1">
        <v>9.35</v>
      </c>
      <c r="G5"/>
      <c r="H5"/>
      <c r="I5"/>
      <c r="J5"/>
      <c r="K5"/>
      <c r="L5"/>
      <c r="M5"/>
      <c r="N5"/>
      <c r="O5"/>
    </row>
    <row r="6" spans="1:15" ht="15.6" x14ac:dyDescent="0.3">
      <c r="A6" s="1">
        <v>100</v>
      </c>
      <c r="B6" s="1">
        <v>25</v>
      </c>
      <c r="C6" s="30">
        <v>252.3175</v>
      </c>
      <c r="D6" s="1">
        <v>9.3000000000000007</v>
      </c>
      <c r="G6" s="35" t="s">
        <v>5</v>
      </c>
      <c r="H6" s="36"/>
      <c r="I6"/>
      <c r="J6"/>
      <c r="K6"/>
      <c r="L6"/>
      <c r="M6"/>
      <c r="N6"/>
      <c r="O6"/>
    </row>
    <row r="7" spans="1:15" ht="15.6" x14ac:dyDescent="0.3">
      <c r="A7" s="1">
        <v>125</v>
      </c>
      <c r="B7" s="1">
        <v>5</v>
      </c>
      <c r="C7" s="30">
        <v>258.6345</v>
      </c>
      <c r="D7" s="1">
        <v>11.5</v>
      </c>
      <c r="G7" s="34" t="s">
        <v>6</v>
      </c>
      <c r="H7" s="37">
        <v>0.92656196408884328</v>
      </c>
      <c r="I7"/>
      <c r="J7"/>
      <c r="K7"/>
      <c r="L7"/>
      <c r="M7"/>
      <c r="N7"/>
      <c r="O7"/>
    </row>
    <row r="8" spans="1:15" ht="15.6" x14ac:dyDescent="0.3">
      <c r="A8" s="1">
        <v>125</v>
      </c>
      <c r="B8" s="1">
        <v>10</v>
      </c>
      <c r="C8" s="30">
        <v>259.22250000000003</v>
      </c>
      <c r="D8" s="1">
        <v>10.15</v>
      </c>
      <c r="G8" s="34" t="s">
        <v>7</v>
      </c>
      <c r="H8" s="37">
        <v>0.85851707329617488</v>
      </c>
      <c r="I8"/>
      <c r="J8"/>
      <c r="K8"/>
      <c r="L8"/>
      <c r="M8"/>
      <c r="N8"/>
      <c r="O8"/>
    </row>
    <row r="9" spans="1:15" ht="15.6" x14ac:dyDescent="0.3">
      <c r="A9" s="1">
        <v>125</v>
      </c>
      <c r="B9" s="1">
        <v>15</v>
      </c>
      <c r="C9" s="30">
        <v>246.9915</v>
      </c>
      <c r="D9" s="1">
        <v>9.8000000000000007</v>
      </c>
      <c r="G9" s="34" t="s">
        <v>8</v>
      </c>
      <c r="H9" s="37">
        <v>0.85093763079418427</v>
      </c>
      <c r="I9"/>
      <c r="J9"/>
      <c r="K9"/>
      <c r="L9"/>
      <c r="M9"/>
      <c r="N9"/>
      <c r="O9"/>
    </row>
    <row r="10" spans="1:15" ht="15.6" x14ac:dyDescent="0.3">
      <c r="A10" s="1">
        <v>125</v>
      </c>
      <c r="B10" s="1">
        <v>20</v>
      </c>
      <c r="C10" s="30">
        <v>250.196</v>
      </c>
      <c r="D10" s="1">
        <v>9.65</v>
      </c>
      <c r="G10" s="34" t="s">
        <v>9</v>
      </c>
      <c r="H10" s="26">
        <v>0.40640056703964883</v>
      </c>
      <c r="I10"/>
      <c r="J10"/>
      <c r="K10"/>
      <c r="L10"/>
      <c r="M10"/>
      <c r="N10"/>
      <c r="O10"/>
    </row>
    <row r="11" spans="1:15" ht="15.6" x14ac:dyDescent="0.3">
      <c r="A11" s="1">
        <v>125</v>
      </c>
      <c r="B11" s="1">
        <v>25</v>
      </c>
      <c r="C11" s="30">
        <v>253.11170000000001</v>
      </c>
      <c r="D11" s="1">
        <v>9.6</v>
      </c>
      <c r="G11" s="34" t="s">
        <v>10</v>
      </c>
      <c r="H11" s="34">
        <v>60</v>
      </c>
      <c r="I11"/>
      <c r="J11"/>
      <c r="K11"/>
      <c r="L11"/>
      <c r="M11"/>
      <c r="N11"/>
      <c r="O11"/>
    </row>
    <row r="12" spans="1:15" ht="15.6" x14ac:dyDescent="0.3">
      <c r="A12" s="1">
        <v>150</v>
      </c>
      <c r="B12" s="1">
        <v>5</v>
      </c>
      <c r="C12" s="30">
        <v>251.7227</v>
      </c>
      <c r="D12" s="1">
        <v>11.7</v>
      </c>
      <c r="G12"/>
      <c r="H12"/>
      <c r="I12"/>
      <c r="J12"/>
      <c r="K12"/>
      <c r="L12"/>
      <c r="M12"/>
      <c r="N12"/>
      <c r="O12"/>
    </row>
    <row r="13" spans="1:15" ht="15.6" x14ac:dyDescent="0.3">
      <c r="A13" s="1">
        <v>150</v>
      </c>
      <c r="B13" s="1">
        <v>10</v>
      </c>
      <c r="C13" s="31">
        <v>246.6626</v>
      </c>
      <c r="D13" s="1">
        <v>10.399999999999999</v>
      </c>
      <c r="G13" t="s">
        <v>11</v>
      </c>
      <c r="H13"/>
      <c r="I13"/>
      <c r="J13"/>
      <c r="K13"/>
      <c r="L13"/>
      <c r="M13"/>
      <c r="N13"/>
      <c r="O13"/>
    </row>
    <row r="14" spans="1:15" ht="15.6" x14ac:dyDescent="0.3">
      <c r="A14" s="1">
        <v>150</v>
      </c>
      <c r="B14" s="1">
        <v>15</v>
      </c>
      <c r="C14" s="30">
        <v>255.47389999999999</v>
      </c>
      <c r="D14" s="1">
        <v>10.099999999999998</v>
      </c>
      <c r="G14" s="38"/>
      <c r="H14" s="38" t="s">
        <v>12</v>
      </c>
      <c r="I14" s="38" t="s">
        <v>13</v>
      </c>
      <c r="J14" s="38" t="s">
        <v>14</v>
      </c>
      <c r="K14" s="38" t="s">
        <v>15</v>
      </c>
      <c r="L14" s="38" t="s">
        <v>16</v>
      </c>
      <c r="M14"/>
      <c r="N14"/>
      <c r="O14"/>
    </row>
    <row r="15" spans="1:15" ht="15.6" x14ac:dyDescent="0.3">
      <c r="A15" s="1">
        <v>150</v>
      </c>
      <c r="B15" s="1">
        <v>20</v>
      </c>
      <c r="C15" s="30">
        <v>253.12979999999999</v>
      </c>
      <c r="D15" s="1">
        <v>9.85</v>
      </c>
      <c r="G15" s="39" t="s">
        <v>17</v>
      </c>
      <c r="H15" s="27">
        <v>3</v>
      </c>
      <c r="I15" s="39">
        <v>56.12308543015169</v>
      </c>
      <c r="J15" s="39">
        <v>18.707695143383898</v>
      </c>
      <c r="K15" s="39">
        <v>113.26915839399763</v>
      </c>
      <c r="L15" s="39">
        <v>9.3239197519485117E-24</v>
      </c>
      <c r="M15"/>
      <c r="N15"/>
      <c r="O15"/>
    </row>
    <row r="16" spans="1:15" ht="15.6" x14ac:dyDescent="0.3">
      <c r="A16" s="1">
        <v>150</v>
      </c>
      <c r="B16" s="1">
        <v>25</v>
      </c>
      <c r="C16" s="30">
        <v>255.33430000000001</v>
      </c>
      <c r="D16" s="1">
        <v>9.8000000000000007</v>
      </c>
      <c r="G16" s="39" t="s">
        <v>18</v>
      </c>
      <c r="H16" s="27">
        <v>56</v>
      </c>
      <c r="I16" s="39">
        <v>9.2490395698482946</v>
      </c>
      <c r="J16" s="39">
        <v>0.16516142089014813</v>
      </c>
      <c r="K16" s="39"/>
      <c r="L16" s="39"/>
      <c r="M16"/>
      <c r="N16"/>
      <c r="O16"/>
    </row>
    <row r="17" spans="1:15" ht="15.6" x14ac:dyDescent="0.3">
      <c r="A17" s="1">
        <v>200</v>
      </c>
      <c r="B17" s="1">
        <v>5</v>
      </c>
      <c r="C17" s="30">
        <v>252.77449999999999</v>
      </c>
      <c r="D17" s="1">
        <v>12</v>
      </c>
      <c r="G17" s="39" t="s">
        <v>19</v>
      </c>
      <c r="H17" s="27">
        <v>59</v>
      </c>
      <c r="I17" s="39">
        <v>65.372124999999983</v>
      </c>
      <c r="J17" s="39"/>
      <c r="K17" s="39"/>
      <c r="L17" s="39"/>
      <c r="M17"/>
      <c r="N17"/>
      <c r="O17"/>
    </row>
    <row r="18" spans="1:15" ht="15.6" x14ac:dyDescent="0.3">
      <c r="A18" s="1">
        <v>200</v>
      </c>
      <c r="B18" s="1">
        <v>10</v>
      </c>
      <c r="C18" s="30">
        <v>247.7362</v>
      </c>
      <c r="D18" s="1">
        <v>10.799999999999999</v>
      </c>
      <c r="G18"/>
      <c r="H18"/>
      <c r="I18"/>
      <c r="J18"/>
      <c r="K18"/>
      <c r="L18"/>
      <c r="M18"/>
      <c r="N18"/>
      <c r="O18"/>
    </row>
    <row r="19" spans="1:15" ht="15.6" x14ac:dyDescent="0.3">
      <c r="A19" s="1">
        <v>200</v>
      </c>
      <c r="B19" s="1">
        <v>15</v>
      </c>
      <c r="C19" s="30">
        <v>255.81659999999999</v>
      </c>
      <c r="D19" s="1">
        <v>10.399999999999999</v>
      </c>
      <c r="G19" s="28"/>
      <c r="H19" s="28" t="s">
        <v>20</v>
      </c>
      <c r="I19" s="28" t="s">
        <v>9</v>
      </c>
      <c r="J19" s="28" t="s">
        <v>21</v>
      </c>
      <c r="K19" s="28" t="s">
        <v>22</v>
      </c>
      <c r="L19" s="28" t="s">
        <v>23</v>
      </c>
      <c r="M19" s="28" t="s">
        <v>24</v>
      </c>
      <c r="N19" s="28" t="s">
        <v>25</v>
      </c>
      <c r="O19" s="28" t="s">
        <v>26</v>
      </c>
    </row>
    <row r="20" spans="1:15" ht="15.6" x14ac:dyDescent="0.3">
      <c r="A20" s="1">
        <v>200</v>
      </c>
      <c r="B20" s="1">
        <v>20</v>
      </c>
      <c r="C20" s="30">
        <v>244.13460000000001</v>
      </c>
      <c r="D20" s="1">
        <v>10.15</v>
      </c>
      <c r="G20" s="29" t="s">
        <v>27</v>
      </c>
      <c r="H20" s="29">
        <v>9.0963270417809028</v>
      </c>
      <c r="I20" s="29">
        <v>0.30728180801812693</v>
      </c>
      <c r="J20" s="29">
        <v>29.602556364951809</v>
      </c>
      <c r="K20" s="29">
        <v>6.9253065603643703E-36</v>
      </c>
      <c r="L20" s="29">
        <v>8.4807676117977966</v>
      </c>
      <c r="M20" s="29">
        <v>9.711886471764009</v>
      </c>
      <c r="N20" s="29">
        <v>8.4807676117977966</v>
      </c>
      <c r="O20" s="29">
        <v>9.711886471764009</v>
      </c>
    </row>
    <row r="21" spans="1:15" ht="15.6" x14ac:dyDescent="0.3">
      <c r="A21" s="1">
        <v>200</v>
      </c>
      <c r="B21" s="1">
        <v>25</v>
      </c>
      <c r="C21" s="30">
        <v>255.4931</v>
      </c>
      <c r="D21" s="1">
        <v>10.100000000000001</v>
      </c>
      <c r="G21" s="29" t="s">
        <v>0</v>
      </c>
      <c r="H21" s="29">
        <v>9.8266267925165383E-3</v>
      </c>
      <c r="I21" s="29">
        <v>1.4190152820249189E-3</v>
      </c>
      <c r="J21" s="29">
        <v>6.9249619204199497</v>
      </c>
      <c r="K21" s="29">
        <v>4.6040430964781602E-9</v>
      </c>
      <c r="L21" s="29">
        <v>6.9839975988968232E-3</v>
      </c>
      <c r="M21" s="29">
        <v>1.2669255986136253E-2</v>
      </c>
      <c r="N21" s="29">
        <v>6.9839975988968232E-3</v>
      </c>
      <c r="O21" s="29">
        <v>1.2669255986136253E-2</v>
      </c>
    </row>
    <row r="22" spans="1:15" ht="15.6" x14ac:dyDescent="0.3">
      <c r="A22" s="1">
        <f t="shared" ref="A22:B37" si="0">A2</f>
        <v>100</v>
      </c>
      <c r="B22" s="1">
        <f t="shared" si="0"/>
        <v>5</v>
      </c>
      <c r="C22" s="30">
        <v>375.52019999999999</v>
      </c>
      <c r="D22" s="1">
        <v>12.05</v>
      </c>
      <c r="G22" s="29" t="s">
        <v>1</v>
      </c>
      <c r="H22" s="29">
        <v>-0.10234405729686287</v>
      </c>
      <c r="I22" s="29">
        <v>7.4198310326988358E-3</v>
      </c>
      <c r="J22" s="29">
        <v>-13.793313735290948</v>
      </c>
      <c r="K22" s="29">
        <v>1.1754718462089194E-19</v>
      </c>
      <c r="L22" s="29">
        <v>-0.11720776494853624</v>
      </c>
      <c r="M22" s="29">
        <v>-8.7480349645189498E-2</v>
      </c>
      <c r="N22" s="29">
        <v>-0.11720776494853624</v>
      </c>
      <c r="O22" s="29">
        <v>-8.7480349645189498E-2</v>
      </c>
    </row>
    <row r="23" spans="1:15" ht="15.6" x14ac:dyDescent="0.3">
      <c r="A23" s="1">
        <f t="shared" si="0"/>
        <v>100</v>
      </c>
      <c r="B23" s="1">
        <f t="shared" si="0"/>
        <v>10</v>
      </c>
      <c r="C23" s="30">
        <v>364.91219999999998</v>
      </c>
      <c r="D23" s="1">
        <v>10.45</v>
      </c>
      <c r="G23" s="29" t="s">
        <v>2</v>
      </c>
      <c r="H23" s="29">
        <v>5.2111711637438029E-3</v>
      </c>
      <c r="I23" s="29">
        <v>5.1257263717988393E-4</v>
      </c>
      <c r="J23" s="29">
        <v>10.166697918981924</v>
      </c>
      <c r="K23" s="29">
        <v>2.5029974867333203E-14</v>
      </c>
      <c r="L23" s="29">
        <v>4.1843647855778227E-3</v>
      </c>
      <c r="M23" s="29">
        <v>6.2379775419097831E-3</v>
      </c>
      <c r="N23" s="29">
        <v>4.1843647855778227E-3</v>
      </c>
      <c r="O23" s="29">
        <v>6.2379775419097831E-3</v>
      </c>
    </row>
    <row r="24" spans="1:15" ht="15.6" x14ac:dyDescent="0.3">
      <c r="A24" s="1">
        <f t="shared" si="0"/>
        <v>100</v>
      </c>
      <c r="B24" s="1">
        <f t="shared" si="0"/>
        <v>15</v>
      </c>
      <c r="C24" s="30">
        <v>365.9726</v>
      </c>
      <c r="D24" s="1">
        <v>10.1</v>
      </c>
      <c r="G24"/>
      <c r="H24"/>
      <c r="I24"/>
      <c r="J24"/>
      <c r="K24"/>
      <c r="L24"/>
      <c r="M24"/>
      <c r="N24"/>
      <c r="O24"/>
    </row>
    <row r="25" spans="1:15" ht="15.6" x14ac:dyDescent="0.3">
      <c r="A25" s="1">
        <f t="shared" si="0"/>
        <v>100</v>
      </c>
      <c r="B25" s="1">
        <f t="shared" si="0"/>
        <v>20</v>
      </c>
      <c r="C25" s="31">
        <v>375.54809999999998</v>
      </c>
      <c r="D25" s="1">
        <v>10</v>
      </c>
      <c r="G25"/>
      <c r="H25"/>
      <c r="I25"/>
      <c r="J25"/>
      <c r="K25"/>
      <c r="L25"/>
      <c r="M25"/>
      <c r="N25"/>
      <c r="O25"/>
    </row>
    <row r="26" spans="1:15" ht="15.6" x14ac:dyDescent="0.3">
      <c r="A26" s="1">
        <f t="shared" si="0"/>
        <v>100</v>
      </c>
      <c r="B26" s="1">
        <f t="shared" si="0"/>
        <v>25</v>
      </c>
      <c r="C26" s="30">
        <v>372.2448</v>
      </c>
      <c r="D26" s="1">
        <v>9.85</v>
      </c>
      <c r="G26"/>
      <c r="H26"/>
      <c r="I26"/>
      <c r="J26"/>
      <c r="K26"/>
      <c r="L26"/>
      <c r="M26"/>
      <c r="N26"/>
      <c r="O26"/>
    </row>
    <row r="27" spans="1:15" ht="15.6" x14ac:dyDescent="0.3">
      <c r="A27" s="1">
        <f t="shared" si="0"/>
        <v>125</v>
      </c>
      <c r="B27" s="1">
        <f t="shared" si="0"/>
        <v>5</v>
      </c>
      <c r="C27" s="30">
        <v>367.93290000000002</v>
      </c>
      <c r="D27" s="1">
        <v>12.4</v>
      </c>
      <c r="G27" s="1" t="s">
        <v>31</v>
      </c>
      <c r="H27" s="1" t="s">
        <v>32</v>
      </c>
      <c r="I27" s="1">
        <v>7.9589999999999999E-4</v>
      </c>
      <c r="J27" s="2" t="s">
        <v>41</v>
      </c>
    </row>
    <row r="28" spans="1:15" ht="15.6" x14ac:dyDescent="0.3">
      <c r="A28" s="1">
        <f t="shared" si="0"/>
        <v>125</v>
      </c>
      <c r="B28" s="1">
        <f t="shared" si="0"/>
        <v>10</v>
      </c>
      <c r="C28" s="30">
        <v>372.9119</v>
      </c>
      <c r="D28" s="1">
        <v>11</v>
      </c>
      <c r="G28" s="1" t="s">
        <v>33</v>
      </c>
      <c r="H28" s="1" t="s">
        <v>34</v>
      </c>
      <c r="I28" s="1">
        <v>9.8130000000000005E-3</v>
      </c>
      <c r="J28" s="2" t="s">
        <v>41</v>
      </c>
    </row>
    <row r="29" spans="1:15" ht="15.6" x14ac:dyDescent="0.3">
      <c r="A29" s="1">
        <f t="shared" si="0"/>
        <v>125</v>
      </c>
      <c r="B29" s="1">
        <f t="shared" si="0"/>
        <v>15</v>
      </c>
      <c r="C29" s="31">
        <v>374.62299999999999</v>
      </c>
      <c r="D29" s="1">
        <v>10.45</v>
      </c>
      <c r="G29" s="11" t="s">
        <v>35</v>
      </c>
      <c r="H29" s="11" t="s">
        <v>36</v>
      </c>
      <c r="I29" s="1" t="s">
        <v>43</v>
      </c>
    </row>
    <row r="30" spans="1:15" ht="15.6" x14ac:dyDescent="0.3">
      <c r="A30" s="1">
        <f t="shared" si="0"/>
        <v>125</v>
      </c>
      <c r="B30" s="1">
        <f t="shared" si="0"/>
        <v>20</v>
      </c>
      <c r="C30" s="30">
        <v>374.1628</v>
      </c>
      <c r="D30" s="1">
        <v>10.3</v>
      </c>
      <c r="G30" s="13"/>
      <c r="H30" s="13"/>
      <c r="I30" s="1" t="s">
        <v>44</v>
      </c>
      <c r="J30" s="2" t="s">
        <v>42</v>
      </c>
    </row>
    <row r="31" spans="1:15" ht="15.6" x14ac:dyDescent="0.3">
      <c r="A31" s="1">
        <f t="shared" si="0"/>
        <v>125</v>
      </c>
      <c r="B31" s="1">
        <f t="shared" si="0"/>
        <v>25</v>
      </c>
      <c r="C31" s="30">
        <v>367.64240000000001</v>
      </c>
      <c r="D31" s="1">
        <v>10.15</v>
      </c>
      <c r="G31" s="12"/>
      <c r="H31" s="12"/>
      <c r="I31" s="1" t="s">
        <v>45</v>
      </c>
    </row>
    <row r="32" spans="1:15" ht="15.6" x14ac:dyDescent="0.3">
      <c r="A32" s="1">
        <f t="shared" si="0"/>
        <v>150</v>
      </c>
      <c r="B32" s="1">
        <f t="shared" si="0"/>
        <v>5</v>
      </c>
      <c r="C32" s="30">
        <v>370.88040000000001</v>
      </c>
      <c r="D32" s="1">
        <v>12.7</v>
      </c>
    </row>
    <row r="33" spans="1:4" ht="15.6" x14ac:dyDescent="0.3">
      <c r="A33" s="1">
        <f t="shared" si="0"/>
        <v>150</v>
      </c>
      <c r="B33" s="1">
        <f t="shared" si="0"/>
        <v>10</v>
      </c>
      <c r="C33" s="30">
        <v>371.8621</v>
      </c>
      <c r="D33" s="1">
        <v>11.25</v>
      </c>
    </row>
    <row r="34" spans="1:4" ht="15.6" x14ac:dyDescent="0.3">
      <c r="A34" s="1">
        <f t="shared" si="0"/>
        <v>150</v>
      </c>
      <c r="B34" s="1">
        <f t="shared" si="0"/>
        <v>15</v>
      </c>
      <c r="C34" s="30">
        <v>375.20240000000001</v>
      </c>
      <c r="D34" s="1">
        <v>10.749999999999998</v>
      </c>
    </row>
    <row r="35" spans="1:4" ht="15.6" x14ac:dyDescent="0.3">
      <c r="A35" s="1">
        <f t="shared" si="0"/>
        <v>150</v>
      </c>
      <c r="B35" s="1">
        <f t="shared" si="0"/>
        <v>20</v>
      </c>
      <c r="C35" s="30">
        <v>376.5154</v>
      </c>
      <c r="D35" s="1">
        <v>10.549999999999999</v>
      </c>
    </row>
    <row r="36" spans="1:4" ht="15.6" x14ac:dyDescent="0.3">
      <c r="A36" s="1">
        <f t="shared" si="0"/>
        <v>150</v>
      </c>
      <c r="B36" s="1">
        <f t="shared" si="0"/>
        <v>25</v>
      </c>
      <c r="C36" s="30">
        <v>364.18689999999998</v>
      </c>
      <c r="D36" s="1">
        <v>10.349999999999998</v>
      </c>
    </row>
    <row r="37" spans="1:4" ht="15.6" x14ac:dyDescent="0.3">
      <c r="A37" s="1">
        <f t="shared" si="0"/>
        <v>200</v>
      </c>
      <c r="B37" s="1">
        <f t="shared" si="0"/>
        <v>5</v>
      </c>
      <c r="C37" s="30">
        <v>367.83440000000002</v>
      </c>
      <c r="D37" s="1">
        <v>13</v>
      </c>
    </row>
    <row r="38" spans="1:4" ht="15.6" x14ac:dyDescent="0.3">
      <c r="A38" s="1">
        <f t="shared" ref="A38:B53" si="1">A18</f>
        <v>200</v>
      </c>
      <c r="B38" s="1">
        <f t="shared" si="1"/>
        <v>10</v>
      </c>
      <c r="C38" s="30">
        <v>374.0197</v>
      </c>
      <c r="D38" s="1">
        <v>11.65</v>
      </c>
    </row>
    <row r="39" spans="1:4" ht="15.6" x14ac:dyDescent="0.3">
      <c r="A39" s="1">
        <f t="shared" si="1"/>
        <v>200</v>
      </c>
      <c r="B39" s="1">
        <f t="shared" si="1"/>
        <v>15</v>
      </c>
      <c r="C39" s="30">
        <v>365.05709999999999</v>
      </c>
      <c r="D39" s="1">
        <v>11.049999999999999</v>
      </c>
    </row>
    <row r="40" spans="1:4" ht="15.6" x14ac:dyDescent="0.3">
      <c r="A40" s="1">
        <f t="shared" si="1"/>
        <v>200</v>
      </c>
      <c r="B40" s="1">
        <f t="shared" si="1"/>
        <v>20</v>
      </c>
      <c r="C40" s="30">
        <v>365.892</v>
      </c>
      <c r="D40" s="1">
        <v>10.85</v>
      </c>
    </row>
    <row r="41" spans="1:4" ht="15.6" x14ac:dyDescent="0.3">
      <c r="A41" s="1">
        <f t="shared" si="1"/>
        <v>200</v>
      </c>
      <c r="B41" s="1">
        <f t="shared" si="1"/>
        <v>25</v>
      </c>
      <c r="C41" s="30">
        <v>372.13929999999999</v>
      </c>
      <c r="D41" s="1">
        <v>10.7</v>
      </c>
    </row>
    <row r="42" spans="1:4" ht="15.6" x14ac:dyDescent="0.3">
      <c r="A42" s="1">
        <f t="shared" si="1"/>
        <v>100</v>
      </c>
      <c r="B42" s="1">
        <f t="shared" si="1"/>
        <v>5</v>
      </c>
      <c r="C42" s="30">
        <v>498.76549999999997</v>
      </c>
      <c r="D42" s="1">
        <v>12.7</v>
      </c>
    </row>
    <row r="43" spans="1:4" ht="15.6" x14ac:dyDescent="0.3">
      <c r="A43" s="1">
        <f t="shared" si="1"/>
        <v>100</v>
      </c>
      <c r="B43" s="1">
        <f t="shared" si="1"/>
        <v>10</v>
      </c>
      <c r="C43" s="30">
        <v>507.7765</v>
      </c>
      <c r="D43" s="1">
        <v>11.05</v>
      </c>
    </row>
    <row r="44" spans="1:4" ht="15.6" x14ac:dyDescent="0.3">
      <c r="A44" s="1">
        <f t="shared" si="1"/>
        <v>100</v>
      </c>
      <c r="B44" s="1">
        <f t="shared" si="1"/>
        <v>15</v>
      </c>
      <c r="C44" s="30">
        <v>510.50810000000001</v>
      </c>
      <c r="D44" s="1">
        <v>10.65</v>
      </c>
    </row>
    <row r="45" spans="1:4" ht="15.6" x14ac:dyDescent="0.3">
      <c r="A45" s="1">
        <f t="shared" si="1"/>
        <v>100</v>
      </c>
      <c r="B45" s="1">
        <f t="shared" si="1"/>
        <v>20</v>
      </c>
      <c r="C45" s="30">
        <v>510.08519999999999</v>
      </c>
      <c r="D45" s="1">
        <v>10.450000000000001</v>
      </c>
    </row>
    <row r="46" spans="1:4" ht="15.6" x14ac:dyDescent="0.3">
      <c r="A46" s="1">
        <f t="shared" si="1"/>
        <v>100</v>
      </c>
      <c r="B46" s="1">
        <f t="shared" si="1"/>
        <v>25</v>
      </c>
      <c r="C46" s="30">
        <v>502.17189999999999</v>
      </c>
      <c r="D46" s="1">
        <v>10.250000000000002</v>
      </c>
    </row>
    <row r="47" spans="1:4" ht="15.6" x14ac:dyDescent="0.3">
      <c r="A47" s="1">
        <f t="shared" si="1"/>
        <v>125</v>
      </c>
      <c r="B47" s="1">
        <f t="shared" si="1"/>
        <v>5</v>
      </c>
      <c r="C47" s="30">
        <v>500.93599999999998</v>
      </c>
      <c r="D47" s="1">
        <v>13.15</v>
      </c>
    </row>
    <row r="48" spans="1:4" ht="15.6" x14ac:dyDescent="0.3">
      <c r="A48" s="1">
        <f t="shared" si="1"/>
        <v>125</v>
      </c>
      <c r="B48" s="1">
        <f t="shared" si="1"/>
        <v>10</v>
      </c>
      <c r="C48" s="32">
        <v>505.55040000000002</v>
      </c>
      <c r="D48" s="1">
        <v>11.55</v>
      </c>
    </row>
    <row r="49" spans="1:4" ht="15.6" x14ac:dyDescent="0.3">
      <c r="A49" s="1">
        <f t="shared" si="1"/>
        <v>125</v>
      </c>
      <c r="B49" s="1">
        <f t="shared" si="1"/>
        <v>15</v>
      </c>
      <c r="C49" s="30">
        <v>508.97269999999997</v>
      </c>
      <c r="D49" s="1">
        <v>11</v>
      </c>
    </row>
    <row r="50" spans="1:4" ht="15.6" x14ac:dyDescent="0.3">
      <c r="A50" s="1">
        <f t="shared" si="1"/>
        <v>125</v>
      </c>
      <c r="B50" s="1">
        <f t="shared" si="1"/>
        <v>20</v>
      </c>
      <c r="C50" s="30">
        <v>510.59410000000003</v>
      </c>
      <c r="D50" s="1">
        <v>10.75</v>
      </c>
    </row>
    <row r="51" spans="1:4" ht="15.6" x14ac:dyDescent="0.3">
      <c r="A51" s="1">
        <f t="shared" si="1"/>
        <v>125</v>
      </c>
      <c r="B51" s="1">
        <f t="shared" si="1"/>
        <v>25</v>
      </c>
      <c r="C51" s="30">
        <v>503.78829999999999</v>
      </c>
      <c r="D51" s="1">
        <v>10.6</v>
      </c>
    </row>
    <row r="52" spans="1:4" ht="15.6" x14ac:dyDescent="0.3">
      <c r="A52" s="1">
        <f t="shared" si="1"/>
        <v>150</v>
      </c>
      <c r="B52" s="1">
        <f t="shared" si="1"/>
        <v>5</v>
      </c>
      <c r="C52" s="30">
        <v>491.88760000000002</v>
      </c>
      <c r="D52" s="1">
        <v>13.299999999999999</v>
      </c>
    </row>
    <row r="53" spans="1:4" ht="15.6" x14ac:dyDescent="0.3">
      <c r="A53" s="1">
        <f t="shared" si="1"/>
        <v>150</v>
      </c>
      <c r="B53" s="1">
        <f t="shared" si="1"/>
        <v>10</v>
      </c>
      <c r="C53" s="30">
        <v>494.46300000000002</v>
      </c>
      <c r="D53" s="1">
        <v>11.9</v>
      </c>
    </row>
    <row r="54" spans="1:4" ht="15.6" x14ac:dyDescent="0.3">
      <c r="A54" s="1">
        <f t="shared" ref="A54:B61" si="2">A34</f>
        <v>150</v>
      </c>
      <c r="B54" s="1">
        <f t="shared" si="2"/>
        <v>15</v>
      </c>
      <c r="C54" s="30">
        <v>497.4409</v>
      </c>
      <c r="D54" s="1">
        <v>11.25</v>
      </c>
    </row>
    <row r="55" spans="1:4" ht="15.6" x14ac:dyDescent="0.3">
      <c r="A55" s="1">
        <f t="shared" si="2"/>
        <v>150</v>
      </c>
      <c r="B55" s="1">
        <f t="shared" si="2"/>
        <v>20</v>
      </c>
      <c r="C55" s="30">
        <v>501.209</v>
      </c>
      <c r="D55" s="1">
        <v>11</v>
      </c>
    </row>
    <row r="56" spans="1:4" ht="15.6" x14ac:dyDescent="0.3">
      <c r="A56" s="1">
        <f t="shared" si="2"/>
        <v>150</v>
      </c>
      <c r="B56" s="1">
        <f t="shared" si="2"/>
        <v>25</v>
      </c>
      <c r="C56" s="30">
        <v>496.90559999999999</v>
      </c>
      <c r="D56" s="1">
        <v>10.850000000000001</v>
      </c>
    </row>
    <row r="57" spans="1:4" ht="15.6" x14ac:dyDescent="0.3">
      <c r="A57" s="1">
        <f t="shared" si="2"/>
        <v>200</v>
      </c>
      <c r="B57" s="1">
        <f t="shared" si="2"/>
        <v>5</v>
      </c>
      <c r="C57" s="30">
        <v>508.4255</v>
      </c>
      <c r="D57" s="1">
        <v>13.9</v>
      </c>
    </row>
    <row r="58" spans="1:4" ht="15.6" x14ac:dyDescent="0.3">
      <c r="A58" s="1">
        <f t="shared" si="2"/>
        <v>200</v>
      </c>
      <c r="B58" s="1">
        <f t="shared" si="2"/>
        <v>10</v>
      </c>
      <c r="C58" s="30">
        <v>490.17399999999998</v>
      </c>
      <c r="D58" s="1">
        <v>12.400000000000002</v>
      </c>
    </row>
    <row r="59" spans="1:4" ht="15.6" x14ac:dyDescent="0.3">
      <c r="A59" s="1">
        <f t="shared" si="2"/>
        <v>200</v>
      </c>
      <c r="B59" s="1">
        <f t="shared" si="2"/>
        <v>15</v>
      </c>
      <c r="C59" s="30">
        <v>509.64319999999998</v>
      </c>
      <c r="D59" s="1">
        <v>11.750000000000002</v>
      </c>
    </row>
    <row r="60" spans="1:4" ht="15.6" x14ac:dyDescent="0.3">
      <c r="A60" s="1">
        <f t="shared" si="2"/>
        <v>200</v>
      </c>
      <c r="B60" s="1">
        <f t="shared" si="2"/>
        <v>20</v>
      </c>
      <c r="C60" s="30">
        <v>496.50970000000001</v>
      </c>
      <c r="D60" s="1">
        <v>11.400000000000002</v>
      </c>
    </row>
    <row r="61" spans="1:4" ht="15.6" x14ac:dyDescent="0.3">
      <c r="A61" s="1">
        <f t="shared" si="2"/>
        <v>200</v>
      </c>
      <c r="B61" s="1">
        <f t="shared" si="2"/>
        <v>25</v>
      </c>
      <c r="C61" s="33">
        <v>497.58199999999999</v>
      </c>
      <c r="D61" s="1">
        <v>11.250000000000004</v>
      </c>
    </row>
  </sheetData>
  <mergeCells count="3">
    <mergeCell ref="G29:G31"/>
    <mergeCell ref="H29:H31"/>
    <mergeCell ref="G6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4FC5-3BB5-4C0C-9BDB-1D9264CE0A6C}">
  <dimension ref="A1:H22"/>
  <sheetViews>
    <sheetView workbookViewId="0">
      <selection activeCell="M6" sqref="M6"/>
    </sheetView>
  </sheetViews>
  <sheetFormatPr defaultRowHeight="14.4" x14ac:dyDescent="0.3"/>
  <sheetData>
    <row r="1" spans="1:8" x14ac:dyDescent="0.3">
      <c r="A1" s="17" t="s">
        <v>40</v>
      </c>
      <c r="B1" s="18"/>
      <c r="C1" s="19">
        <v>250</v>
      </c>
      <c r="D1" s="18"/>
      <c r="E1" s="19">
        <v>370</v>
      </c>
      <c r="F1" s="18"/>
      <c r="G1" s="19">
        <v>500</v>
      </c>
      <c r="H1" s="20"/>
    </row>
    <row r="2" spans="1:8" x14ac:dyDescent="0.3">
      <c r="A2" s="21" t="s">
        <v>0</v>
      </c>
      <c r="B2" s="22" t="s">
        <v>1</v>
      </c>
      <c r="C2" s="22" t="s">
        <v>3</v>
      </c>
      <c r="D2" s="22" t="s">
        <v>28</v>
      </c>
      <c r="E2" s="22" t="s">
        <v>3</v>
      </c>
      <c r="F2" s="22" t="s">
        <v>28</v>
      </c>
      <c r="G2" s="22" t="s">
        <v>3</v>
      </c>
      <c r="H2" s="23" t="s">
        <v>28</v>
      </c>
    </row>
    <row r="3" spans="1:8" x14ac:dyDescent="0.3">
      <c r="A3" s="21">
        <v>100</v>
      </c>
      <c r="B3" s="22">
        <v>5</v>
      </c>
      <c r="C3" s="1">
        <v>10.45</v>
      </c>
      <c r="D3" s="1">
        <v>250.07470000000001</v>
      </c>
      <c r="E3" s="1">
        <v>11.25</v>
      </c>
      <c r="F3" s="1">
        <v>366.61410000000001</v>
      </c>
      <c r="G3" s="1">
        <v>11.85</v>
      </c>
      <c r="H3" s="14">
        <v>504.91079999999999</v>
      </c>
    </row>
    <row r="4" spans="1:8" x14ac:dyDescent="0.3">
      <c r="A4" s="21">
        <v>100</v>
      </c>
      <c r="B4" s="22">
        <v>10</v>
      </c>
      <c r="C4" s="1">
        <v>10</v>
      </c>
      <c r="D4" s="1">
        <v>248.27719999999999</v>
      </c>
      <c r="E4" s="1">
        <v>10.75</v>
      </c>
      <c r="F4" s="1">
        <v>376.40980000000002</v>
      </c>
      <c r="G4" s="1">
        <v>11.25</v>
      </c>
      <c r="H4" s="14">
        <v>505.50599999999997</v>
      </c>
    </row>
    <row r="5" spans="1:8" x14ac:dyDescent="0.3">
      <c r="A5" s="21">
        <v>100</v>
      </c>
      <c r="B5" s="22">
        <v>15</v>
      </c>
      <c r="C5" s="1">
        <v>9.75</v>
      </c>
      <c r="D5" s="1">
        <v>246.75299999999999</v>
      </c>
      <c r="E5" s="1">
        <v>10.45</v>
      </c>
      <c r="F5" s="1">
        <v>372.49169999999998</v>
      </c>
      <c r="G5" s="1">
        <v>10.95</v>
      </c>
      <c r="H5" s="14">
        <v>505.98169999999999</v>
      </c>
    </row>
    <row r="6" spans="1:8" x14ac:dyDescent="0.3">
      <c r="A6" s="21">
        <v>100</v>
      </c>
      <c r="B6" s="22">
        <v>20</v>
      </c>
      <c r="C6" s="1">
        <v>9.6</v>
      </c>
      <c r="D6" s="1">
        <v>245.79339999999999</v>
      </c>
      <c r="E6" s="1">
        <v>10.25</v>
      </c>
      <c r="F6" s="1">
        <v>378.69650000000001</v>
      </c>
      <c r="G6" s="1">
        <v>10.75</v>
      </c>
      <c r="H6" s="14">
        <v>505.5453</v>
      </c>
    </row>
    <row r="7" spans="1:8" x14ac:dyDescent="0.3">
      <c r="A7" s="21">
        <v>100</v>
      </c>
      <c r="B7" s="22">
        <v>25</v>
      </c>
      <c r="C7" s="1">
        <v>9.5</v>
      </c>
      <c r="D7" s="1">
        <v>256.80689999999998</v>
      </c>
      <c r="E7" s="1">
        <v>10.050000000000001</v>
      </c>
      <c r="F7" s="1">
        <v>369.66019999999997</v>
      </c>
      <c r="G7" s="1">
        <v>10.55</v>
      </c>
      <c r="H7" s="14">
        <v>509.19479999999999</v>
      </c>
    </row>
    <row r="8" spans="1:8" x14ac:dyDescent="0.3">
      <c r="A8" s="21">
        <v>125</v>
      </c>
      <c r="B8" s="22">
        <v>5</v>
      </c>
      <c r="C8" s="1">
        <v>10.7</v>
      </c>
      <c r="D8" s="1">
        <v>255.57320000000001</v>
      </c>
      <c r="E8" s="1">
        <v>11.5</v>
      </c>
      <c r="F8" s="1">
        <v>371.96120000000002</v>
      </c>
      <c r="G8" s="1">
        <v>12.1</v>
      </c>
      <c r="H8" s="14">
        <v>498.42509999999999</v>
      </c>
    </row>
    <row r="9" spans="1:8" x14ac:dyDescent="0.3">
      <c r="A9" s="21">
        <v>125</v>
      </c>
      <c r="B9" s="22">
        <v>10</v>
      </c>
      <c r="C9" s="1">
        <v>10.25</v>
      </c>
      <c r="D9" s="1">
        <v>252.90289999999999</v>
      </c>
      <c r="E9" s="1">
        <v>11</v>
      </c>
      <c r="F9" s="1">
        <v>369.02620000000002</v>
      </c>
      <c r="G9" s="1">
        <v>11.55</v>
      </c>
      <c r="H9" s="14">
        <v>502.7106</v>
      </c>
    </row>
    <row r="10" spans="1:8" x14ac:dyDescent="0.3">
      <c r="A10" s="21">
        <v>125</v>
      </c>
      <c r="B10" s="22">
        <v>15</v>
      </c>
      <c r="C10" s="1">
        <v>10.050000000000001</v>
      </c>
      <c r="D10" s="1">
        <v>250.7072</v>
      </c>
      <c r="E10" s="1">
        <v>10.75</v>
      </c>
      <c r="F10" s="1">
        <v>371.40649999999999</v>
      </c>
      <c r="G10" s="1">
        <v>11.25</v>
      </c>
      <c r="H10" s="14">
        <v>490.82619999999997</v>
      </c>
    </row>
    <row r="11" spans="1:8" x14ac:dyDescent="0.3">
      <c r="A11" s="21">
        <v>125</v>
      </c>
      <c r="B11" s="22">
        <v>20</v>
      </c>
      <c r="C11" s="1">
        <v>9.85</v>
      </c>
      <c r="D11" s="1">
        <v>246.35290000000001</v>
      </c>
      <c r="E11" s="1">
        <v>10.55</v>
      </c>
      <c r="F11" s="1">
        <v>377.20479999999998</v>
      </c>
      <c r="G11" s="1">
        <v>11.05</v>
      </c>
      <c r="H11" s="14">
        <v>500.26740000000001</v>
      </c>
    </row>
    <row r="12" spans="1:8" x14ac:dyDescent="0.3">
      <c r="A12" s="21">
        <v>125</v>
      </c>
      <c r="B12" s="22">
        <v>25</v>
      </c>
      <c r="C12" s="1">
        <v>9.75</v>
      </c>
      <c r="D12" s="1">
        <v>250.8844</v>
      </c>
      <c r="E12" s="1">
        <v>10.35</v>
      </c>
      <c r="F12" s="1">
        <v>366.31700000000001</v>
      </c>
      <c r="G12" s="1">
        <v>10.85</v>
      </c>
      <c r="H12" s="14">
        <v>502.49889999999999</v>
      </c>
    </row>
    <row r="13" spans="1:8" x14ac:dyDescent="0.3">
      <c r="A13" s="21">
        <v>150</v>
      </c>
      <c r="B13" s="22">
        <v>5</v>
      </c>
      <c r="C13" s="1">
        <v>10.85</v>
      </c>
      <c r="D13" s="1">
        <v>253.87880000000001</v>
      </c>
      <c r="E13" s="1">
        <v>11.7</v>
      </c>
      <c r="F13" s="1">
        <v>367.00580000000002</v>
      </c>
      <c r="G13" s="1">
        <v>12.4</v>
      </c>
      <c r="H13" s="14">
        <v>508.04450000000003</v>
      </c>
    </row>
    <row r="14" spans="1:8" x14ac:dyDescent="0.3">
      <c r="A14" s="21">
        <v>150</v>
      </c>
      <c r="B14" s="22">
        <v>10</v>
      </c>
      <c r="C14" s="1">
        <v>10.4</v>
      </c>
      <c r="D14" s="1">
        <v>249.2807</v>
      </c>
      <c r="E14" s="1">
        <v>11.200000000000001</v>
      </c>
      <c r="F14" s="1">
        <v>371.41370000000001</v>
      </c>
      <c r="G14" s="1">
        <v>11.85</v>
      </c>
      <c r="H14" s="14">
        <v>509.5566</v>
      </c>
    </row>
    <row r="15" spans="1:8" x14ac:dyDescent="0.3">
      <c r="A15" s="21">
        <v>150</v>
      </c>
      <c r="B15" s="22">
        <v>15</v>
      </c>
      <c r="C15" s="1">
        <v>10.199999999999999</v>
      </c>
      <c r="D15" s="1">
        <v>248.06479999999999</v>
      </c>
      <c r="E15" s="1">
        <v>10.950000000000001</v>
      </c>
      <c r="F15" s="1">
        <v>368.30880000000002</v>
      </c>
      <c r="G15" s="1">
        <v>11.5</v>
      </c>
      <c r="H15" s="14">
        <v>505.1798</v>
      </c>
    </row>
    <row r="16" spans="1:8" x14ac:dyDescent="0.3">
      <c r="A16" s="21">
        <v>150</v>
      </c>
      <c r="B16" s="22">
        <v>20</v>
      </c>
      <c r="C16" s="1">
        <v>10.050000000000001</v>
      </c>
      <c r="D16" s="1">
        <v>245.9033</v>
      </c>
      <c r="E16" s="1">
        <v>10.750000000000002</v>
      </c>
      <c r="F16" s="1">
        <v>364.84</v>
      </c>
      <c r="G16" s="1">
        <v>11.35</v>
      </c>
      <c r="H16" s="14">
        <v>510.44</v>
      </c>
    </row>
    <row r="17" spans="1:8" x14ac:dyDescent="0.3">
      <c r="A17" s="21">
        <v>150</v>
      </c>
      <c r="B17" s="22">
        <v>25</v>
      </c>
      <c r="C17" s="1">
        <v>9.9499999999999993</v>
      </c>
      <c r="D17" s="1">
        <v>251.96899999999999</v>
      </c>
      <c r="E17" s="1">
        <v>10.6</v>
      </c>
      <c r="F17" s="1">
        <v>376.1669</v>
      </c>
      <c r="G17" s="1">
        <v>11.15</v>
      </c>
      <c r="H17" s="14">
        <v>508.01620000000003</v>
      </c>
    </row>
    <row r="18" spans="1:8" x14ac:dyDescent="0.3">
      <c r="A18" s="21">
        <v>200</v>
      </c>
      <c r="B18" s="22">
        <v>5</v>
      </c>
      <c r="C18" s="1">
        <v>11.1</v>
      </c>
      <c r="D18" s="1">
        <v>258.4289</v>
      </c>
      <c r="E18" s="1">
        <v>11.95</v>
      </c>
      <c r="F18" s="1">
        <v>372.33159999999998</v>
      </c>
      <c r="G18" s="1">
        <v>12.75</v>
      </c>
      <c r="H18" s="14">
        <v>516.69680000000005</v>
      </c>
    </row>
    <row r="19" spans="1:8" x14ac:dyDescent="0.3">
      <c r="A19" s="21">
        <v>200</v>
      </c>
      <c r="B19" s="22">
        <v>10</v>
      </c>
      <c r="C19" s="1">
        <v>10.65</v>
      </c>
      <c r="D19" s="1">
        <v>251.33349999999999</v>
      </c>
      <c r="E19" s="1">
        <v>11.5</v>
      </c>
      <c r="F19" s="1">
        <v>376.25380000000001</v>
      </c>
      <c r="G19" s="1">
        <v>12.15</v>
      </c>
      <c r="H19" s="14">
        <v>516.10239999999999</v>
      </c>
    </row>
    <row r="20" spans="1:8" x14ac:dyDescent="0.3">
      <c r="A20" s="21">
        <v>200</v>
      </c>
      <c r="B20" s="22">
        <v>15</v>
      </c>
      <c r="C20" s="1">
        <v>10.45</v>
      </c>
      <c r="D20" s="1">
        <v>246.94970000000001</v>
      </c>
      <c r="E20" s="1">
        <v>11.200000000000001</v>
      </c>
      <c r="F20" s="1">
        <v>362.49160000000001</v>
      </c>
      <c r="G20" s="1">
        <v>11.75</v>
      </c>
      <c r="H20" s="14">
        <v>490.02530000000002</v>
      </c>
    </row>
    <row r="21" spans="1:8" x14ac:dyDescent="0.3">
      <c r="A21" s="21">
        <v>200</v>
      </c>
      <c r="B21" s="22">
        <v>20</v>
      </c>
      <c r="C21" s="1">
        <v>10.3</v>
      </c>
      <c r="D21" s="1">
        <v>243.64150000000001</v>
      </c>
      <c r="E21" s="1">
        <v>11.05</v>
      </c>
      <c r="F21" s="1">
        <v>374.63010000000003</v>
      </c>
      <c r="G21" s="1">
        <v>11.65</v>
      </c>
      <c r="H21" s="14">
        <v>511.48340000000002</v>
      </c>
    </row>
    <row r="22" spans="1:8" ht="15" thickBot="1" x14ac:dyDescent="0.35">
      <c r="A22" s="24">
        <v>200</v>
      </c>
      <c r="B22" s="25">
        <v>25</v>
      </c>
      <c r="C22" s="15">
        <v>10.199999999999999</v>
      </c>
      <c r="D22" s="15">
        <v>249.23249999999999</v>
      </c>
      <c r="E22" s="15">
        <v>10.9</v>
      </c>
      <c r="F22" s="15">
        <v>371.11590000000001</v>
      </c>
      <c r="G22" s="15">
        <v>11.5</v>
      </c>
      <c r="H22" s="16">
        <v>512.10239999999999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53B3-0425-47D7-89A6-521A2E83F831}">
  <dimension ref="A1:H22"/>
  <sheetViews>
    <sheetView workbookViewId="0">
      <selection activeCell="H22" sqref="A1:H22"/>
    </sheetView>
  </sheetViews>
  <sheetFormatPr defaultRowHeight="14.4" x14ac:dyDescent="0.3"/>
  <sheetData>
    <row r="1" spans="1:8" x14ac:dyDescent="0.3">
      <c r="A1" s="17" t="s">
        <v>40</v>
      </c>
      <c r="B1" s="18"/>
      <c r="C1" s="19">
        <v>250</v>
      </c>
      <c r="D1" s="18"/>
      <c r="E1" s="19">
        <v>370</v>
      </c>
      <c r="F1" s="18"/>
      <c r="G1" s="19">
        <v>500</v>
      </c>
      <c r="H1" s="20"/>
    </row>
    <row r="2" spans="1:8" x14ac:dyDescent="0.3">
      <c r="A2" s="21" t="s">
        <v>0</v>
      </c>
      <c r="B2" s="22" t="s">
        <v>1</v>
      </c>
      <c r="C2" s="22" t="s">
        <v>3</v>
      </c>
      <c r="D2" s="22" t="s">
        <v>28</v>
      </c>
      <c r="E2" s="22" t="s">
        <v>3</v>
      </c>
      <c r="F2" s="22" t="s">
        <v>28</v>
      </c>
      <c r="G2" s="22" t="s">
        <v>3</v>
      </c>
      <c r="H2" s="23" t="s">
        <v>28</v>
      </c>
    </row>
    <row r="3" spans="1:8" x14ac:dyDescent="0.3">
      <c r="A3" s="21">
        <v>100</v>
      </c>
      <c r="B3" s="22">
        <v>5</v>
      </c>
      <c r="C3" s="1">
        <v>11.05</v>
      </c>
      <c r="D3" s="1">
        <v>252.7936</v>
      </c>
      <c r="E3" s="1">
        <v>12.05</v>
      </c>
      <c r="F3" s="1">
        <v>376.52019999999999</v>
      </c>
      <c r="G3" s="1">
        <v>12.7</v>
      </c>
      <c r="H3" s="14">
        <v>498.76549999999997</v>
      </c>
    </row>
    <row r="4" spans="1:8" x14ac:dyDescent="0.3">
      <c r="A4" s="21">
        <v>100</v>
      </c>
      <c r="B4" s="22">
        <v>10</v>
      </c>
      <c r="C4" s="1">
        <v>9.75</v>
      </c>
      <c r="D4" s="1">
        <v>249.3304</v>
      </c>
      <c r="E4" s="1">
        <v>10.45</v>
      </c>
      <c r="F4" s="1">
        <v>362.91219999999998</v>
      </c>
      <c r="G4" s="1">
        <v>11.05</v>
      </c>
      <c r="H4" s="14">
        <v>507.7765</v>
      </c>
    </row>
    <row r="5" spans="1:8" x14ac:dyDescent="0.3">
      <c r="A5" s="21">
        <v>100</v>
      </c>
      <c r="B5" s="22">
        <v>15</v>
      </c>
      <c r="C5" s="1">
        <v>9.4499999999999993</v>
      </c>
      <c r="D5" s="1">
        <v>247.8348</v>
      </c>
      <c r="E5" s="1">
        <v>10.1</v>
      </c>
      <c r="F5" s="1">
        <v>365.9726</v>
      </c>
      <c r="G5" s="1">
        <v>10.65</v>
      </c>
      <c r="H5" s="14">
        <v>519.50810000000001</v>
      </c>
    </row>
    <row r="6" spans="1:8" x14ac:dyDescent="0.3">
      <c r="A6" s="21">
        <v>100</v>
      </c>
      <c r="B6" s="22">
        <v>20</v>
      </c>
      <c r="C6" s="1">
        <v>9.35</v>
      </c>
      <c r="D6" s="1">
        <v>244.85429999999999</v>
      </c>
      <c r="E6" s="1">
        <v>10</v>
      </c>
      <c r="F6" s="1">
        <v>375.54809999999998</v>
      </c>
      <c r="G6" s="1">
        <v>10.450000000000001</v>
      </c>
      <c r="H6" s="14">
        <v>515.08519999999999</v>
      </c>
    </row>
    <row r="7" spans="1:8" x14ac:dyDescent="0.3">
      <c r="A7" s="21">
        <v>100</v>
      </c>
      <c r="B7" s="22">
        <v>25</v>
      </c>
      <c r="C7" s="1">
        <v>9.3000000000000007</v>
      </c>
      <c r="D7" s="1">
        <v>252.3175</v>
      </c>
      <c r="E7" s="1">
        <v>9.85</v>
      </c>
      <c r="F7" s="1">
        <v>372.2448</v>
      </c>
      <c r="G7" s="1">
        <v>10.250000000000002</v>
      </c>
      <c r="H7" s="14">
        <v>502.17189999999999</v>
      </c>
    </row>
    <row r="8" spans="1:8" x14ac:dyDescent="0.3">
      <c r="A8" s="21">
        <v>125</v>
      </c>
      <c r="B8" s="22">
        <v>5</v>
      </c>
      <c r="C8" s="1">
        <v>11.5</v>
      </c>
      <c r="D8" s="1">
        <v>258.6345</v>
      </c>
      <c r="E8" s="1">
        <v>12.4</v>
      </c>
      <c r="F8" s="1">
        <v>365.93290000000002</v>
      </c>
      <c r="G8" s="1">
        <v>13.15</v>
      </c>
      <c r="H8" s="14">
        <v>500.93599999999998</v>
      </c>
    </row>
    <row r="9" spans="1:8" x14ac:dyDescent="0.3">
      <c r="A9" s="21">
        <v>125</v>
      </c>
      <c r="B9" s="22">
        <v>10</v>
      </c>
      <c r="C9" s="1">
        <v>10.15</v>
      </c>
      <c r="D9" s="1">
        <v>259.22250000000003</v>
      </c>
      <c r="E9" s="1">
        <v>11</v>
      </c>
      <c r="F9" s="1">
        <v>372.9119</v>
      </c>
      <c r="G9" s="1">
        <v>11.55</v>
      </c>
      <c r="H9" s="14">
        <v>505.55040000000002</v>
      </c>
    </row>
    <row r="10" spans="1:8" x14ac:dyDescent="0.3">
      <c r="A10" s="21">
        <v>125</v>
      </c>
      <c r="B10" s="22">
        <v>15</v>
      </c>
      <c r="C10" s="1">
        <v>9.8000000000000007</v>
      </c>
      <c r="D10" s="1">
        <v>245.9915</v>
      </c>
      <c r="E10" s="1">
        <v>10.45</v>
      </c>
      <c r="F10" s="1">
        <v>377.62299999999999</v>
      </c>
      <c r="G10" s="1">
        <v>11</v>
      </c>
      <c r="H10" s="14">
        <v>508.97269999999997</v>
      </c>
    </row>
    <row r="11" spans="1:8" x14ac:dyDescent="0.3">
      <c r="A11" s="21">
        <v>125</v>
      </c>
      <c r="B11" s="22">
        <v>20</v>
      </c>
      <c r="C11" s="1">
        <v>9.65</v>
      </c>
      <c r="D11" s="1">
        <v>250.196</v>
      </c>
      <c r="E11" s="1">
        <v>10.3</v>
      </c>
      <c r="F11" s="1">
        <v>374.1628</v>
      </c>
      <c r="G11" s="1">
        <v>10.75</v>
      </c>
      <c r="H11" s="14">
        <v>510.59410000000003</v>
      </c>
    </row>
    <row r="12" spans="1:8" x14ac:dyDescent="0.3">
      <c r="A12" s="21">
        <v>125</v>
      </c>
      <c r="B12" s="22">
        <v>25</v>
      </c>
      <c r="C12" s="1">
        <v>9.6</v>
      </c>
      <c r="D12" s="1">
        <v>253.11170000000001</v>
      </c>
      <c r="E12" s="1">
        <v>10.15</v>
      </c>
      <c r="F12" s="1">
        <v>365.64240000000001</v>
      </c>
      <c r="G12" s="1">
        <v>10.6</v>
      </c>
      <c r="H12" s="14">
        <v>503.78829999999999</v>
      </c>
    </row>
    <row r="13" spans="1:8" x14ac:dyDescent="0.3">
      <c r="A13" s="21">
        <v>150</v>
      </c>
      <c r="B13" s="22">
        <v>5</v>
      </c>
      <c r="C13" s="1">
        <v>11.7</v>
      </c>
      <c r="D13" s="1">
        <v>251.7227</v>
      </c>
      <c r="E13" s="1">
        <v>12.7</v>
      </c>
      <c r="F13" s="1">
        <v>370.88040000000001</v>
      </c>
      <c r="G13" s="1">
        <v>13.299999999999999</v>
      </c>
      <c r="H13" s="14">
        <v>491.88760000000002</v>
      </c>
    </row>
    <row r="14" spans="1:8" x14ac:dyDescent="0.3">
      <c r="A14" s="21">
        <v>150</v>
      </c>
      <c r="B14" s="22">
        <v>10</v>
      </c>
      <c r="C14" s="1">
        <v>10.399999999999999</v>
      </c>
      <c r="D14" s="1">
        <v>246.6626</v>
      </c>
      <c r="E14" s="1">
        <v>11.25</v>
      </c>
      <c r="F14" s="1">
        <v>370.8621</v>
      </c>
      <c r="G14" s="1">
        <v>11.9</v>
      </c>
      <c r="H14" s="14">
        <v>494.46300000000002</v>
      </c>
    </row>
    <row r="15" spans="1:8" x14ac:dyDescent="0.3">
      <c r="A15" s="21">
        <v>150</v>
      </c>
      <c r="B15" s="22">
        <v>15</v>
      </c>
      <c r="C15" s="1">
        <v>10.099999999999998</v>
      </c>
      <c r="D15" s="1">
        <v>258.47390000000001</v>
      </c>
      <c r="E15" s="1">
        <v>10.749999999999998</v>
      </c>
      <c r="F15" s="1">
        <v>375.20240000000001</v>
      </c>
      <c r="G15" s="1">
        <v>11.25</v>
      </c>
      <c r="H15" s="14">
        <v>497.4409</v>
      </c>
    </row>
    <row r="16" spans="1:8" x14ac:dyDescent="0.3">
      <c r="A16" s="21">
        <v>150</v>
      </c>
      <c r="B16" s="22">
        <v>20</v>
      </c>
      <c r="C16" s="1">
        <v>9.85</v>
      </c>
      <c r="D16" s="1">
        <v>253.12979999999999</v>
      </c>
      <c r="E16" s="1">
        <v>10.549999999999999</v>
      </c>
      <c r="F16" s="1">
        <v>378.5154</v>
      </c>
      <c r="G16" s="1">
        <v>11</v>
      </c>
      <c r="H16" s="14">
        <v>501.209</v>
      </c>
    </row>
    <row r="17" spans="1:8" x14ac:dyDescent="0.3">
      <c r="A17" s="21">
        <v>150</v>
      </c>
      <c r="B17" s="22">
        <v>25</v>
      </c>
      <c r="C17" s="1">
        <v>9.8000000000000007</v>
      </c>
      <c r="D17" s="1">
        <v>255.33430000000001</v>
      </c>
      <c r="E17" s="1">
        <v>10.349999999999998</v>
      </c>
      <c r="F17" s="1">
        <v>362.18689999999998</v>
      </c>
      <c r="G17" s="1">
        <v>10.850000000000001</v>
      </c>
      <c r="H17" s="14">
        <v>496.90559999999999</v>
      </c>
    </row>
    <row r="18" spans="1:8" x14ac:dyDescent="0.3">
      <c r="A18" s="21">
        <v>200</v>
      </c>
      <c r="B18" s="22">
        <v>5</v>
      </c>
      <c r="C18" s="1">
        <v>12</v>
      </c>
      <c r="D18" s="1">
        <v>252.77449999999999</v>
      </c>
      <c r="E18" s="1">
        <v>13</v>
      </c>
      <c r="F18" s="1">
        <v>366.83440000000002</v>
      </c>
      <c r="G18" s="1">
        <v>13.9</v>
      </c>
      <c r="H18" s="14">
        <v>508.4255</v>
      </c>
    </row>
    <row r="19" spans="1:8" x14ac:dyDescent="0.3">
      <c r="A19" s="21">
        <v>200</v>
      </c>
      <c r="B19" s="22">
        <v>10</v>
      </c>
      <c r="C19" s="1">
        <v>10.799999999999999</v>
      </c>
      <c r="D19" s="1">
        <v>247.7362</v>
      </c>
      <c r="E19" s="1">
        <v>11.65</v>
      </c>
      <c r="F19" s="1">
        <v>374.0197</v>
      </c>
      <c r="G19" s="1">
        <v>12.400000000000002</v>
      </c>
      <c r="H19" s="14">
        <v>490.17399999999998</v>
      </c>
    </row>
    <row r="20" spans="1:8" x14ac:dyDescent="0.3">
      <c r="A20" s="21">
        <v>200</v>
      </c>
      <c r="B20" s="22">
        <v>15</v>
      </c>
      <c r="C20" s="1">
        <v>10.399999999999999</v>
      </c>
      <c r="D20" s="1">
        <v>255.81659999999999</v>
      </c>
      <c r="E20" s="1">
        <v>11.049999999999999</v>
      </c>
      <c r="F20" s="1">
        <v>364.05709999999999</v>
      </c>
      <c r="G20" s="1">
        <v>11.750000000000002</v>
      </c>
      <c r="H20" s="14">
        <v>509.64319999999998</v>
      </c>
    </row>
    <row r="21" spans="1:8" x14ac:dyDescent="0.3">
      <c r="A21" s="21">
        <v>200</v>
      </c>
      <c r="B21" s="22">
        <v>20</v>
      </c>
      <c r="C21" s="1">
        <v>10.15</v>
      </c>
      <c r="D21" s="1">
        <v>244.13460000000001</v>
      </c>
      <c r="E21" s="1">
        <v>10.85</v>
      </c>
      <c r="F21" s="1">
        <v>365.892</v>
      </c>
      <c r="G21" s="1">
        <v>11.400000000000002</v>
      </c>
      <c r="H21" s="14">
        <v>496.50970000000001</v>
      </c>
    </row>
    <row r="22" spans="1:8" ht="15" thickBot="1" x14ac:dyDescent="0.35">
      <c r="A22" s="24">
        <v>200</v>
      </c>
      <c r="B22" s="25">
        <v>25</v>
      </c>
      <c r="C22" s="15">
        <v>10.100000000000001</v>
      </c>
      <c r="D22" s="15">
        <v>255.4931</v>
      </c>
      <c r="E22" s="15">
        <v>10.7</v>
      </c>
      <c r="F22" s="15">
        <v>372.13929999999999</v>
      </c>
      <c r="G22" s="15">
        <v>11.250000000000004</v>
      </c>
      <c r="H22" s="16">
        <v>497.58199999999999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VWAB Modeling Data</vt:lpstr>
      <vt:lpstr>VWM Modeling Data</vt:lpstr>
      <vt:lpstr>H for VWAB with ARL0</vt:lpstr>
      <vt:lpstr>H for VWM with ARL0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2024-04-11T14:32:31Z</dcterms:created>
  <dcterms:modified xsi:type="dcterms:W3CDTF">2024-04-11T17:19:37Z</dcterms:modified>
</cp:coreProperties>
</file>