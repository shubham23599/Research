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bh\Desktop\PHD\Current Work\EWMA\"/>
    </mc:Choice>
  </mc:AlternateContent>
  <xr:revisionPtr revIDLastSave="0" documentId="13_ncr:1_{F74CD7C1-F3D8-4E83-9549-85765C5FFC84}" xr6:coauthVersionLast="47" xr6:coauthVersionMax="47" xr10:uidLastSave="{00000000-0000-0000-0000-000000000000}"/>
  <bookViews>
    <workbookView xWindow="-108" yWindow="-108" windowWidth="23256" windowHeight="12576" activeTab="3" xr2:uid="{01B2F94A-7A90-4583-A729-1D892349E07D}"/>
  </bookViews>
  <sheets>
    <sheet name="H for VWM with ARL0" sheetId="1" r:id="rId1"/>
    <sheet name="H for VWAB with ARL0" sheetId="2" r:id="rId2"/>
    <sheet name="EVA" sheetId="4" r:id="rId3"/>
    <sheet name="EVM" sheetId="3" r:id="rId4"/>
  </sheets>
  <definedNames>
    <definedName name="_xlnm._FilterDatabase" localSheetId="2" hidden="1">EVA!$A$1:$F$226</definedName>
    <definedName name="_xlnm._FilterDatabase" localSheetId="3" hidden="1">EVM!$A$1:$F$226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3" l="1"/>
  <c r="N1" i="3"/>
  <c r="O8" i="2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" i="3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AN23" i="2" l="1"/>
  <c r="AN24" i="2"/>
  <c r="AL24" i="2" s="1"/>
  <c r="AN25" i="2"/>
  <c r="AL19" i="2"/>
  <c r="AL20" i="2"/>
  <c r="AN19" i="2"/>
  <c r="AN20" i="2"/>
  <c r="AN18" i="2"/>
  <c r="AP25" i="2"/>
  <c r="AL8" i="2"/>
  <c r="AL9" i="2"/>
  <c r="AL11" i="2"/>
  <c r="AL12" i="2"/>
  <c r="AN10" i="2"/>
  <c r="AN8" i="2"/>
  <c r="AL13" i="2"/>
  <c r="AL14" i="2"/>
  <c r="AL16" i="2"/>
  <c r="AL5" i="2"/>
  <c r="AL7" i="2"/>
  <c r="AL3" i="2"/>
  <c r="AL15" i="2"/>
  <c r="AN13" i="2"/>
  <c r="AP13" i="2"/>
  <c r="AP18" i="2"/>
  <c r="AP19" i="2"/>
  <c r="AP24" i="2"/>
  <c r="AP8" i="2"/>
  <c r="AC23" i="2"/>
  <c r="AC25" i="2"/>
  <c r="AC26" i="2"/>
  <c r="AC27" i="2"/>
  <c r="AA25" i="2"/>
  <c r="AA24" i="2"/>
  <c r="AE24" i="2"/>
  <c r="AE26" i="2"/>
  <c r="AE27" i="2"/>
  <c r="AA19" i="2"/>
  <c r="AA20" i="2"/>
  <c r="AA21" i="2"/>
  <c r="AA22" i="2"/>
  <c r="AC19" i="2"/>
  <c r="AC20" i="2"/>
  <c r="AC21" i="2"/>
  <c r="AC22" i="2"/>
  <c r="AC18" i="2"/>
  <c r="AA8" i="2"/>
  <c r="AA9" i="2"/>
  <c r="AA10" i="2"/>
  <c r="AA11" i="2"/>
  <c r="AC9" i="2"/>
  <c r="AC10" i="2"/>
  <c r="AC11" i="2"/>
  <c r="AC12" i="2"/>
  <c r="AC8" i="2"/>
  <c r="AE18" i="2"/>
  <c r="AE9" i="2"/>
  <c r="AE8" i="2"/>
  <c r="AC6" i="2"/>
  <c r="AC7" i="2"/>
  <c r="AC5" i="2"/>
  <c r="AE14" i="2" l="1"/>
  <c r="Q25" i="2"/>
  <c r="Q26" i="2" s="1"/>
  <c r="Q27" i="2" s="1"/>
  <c r="S26" i="2"/>
  <c r="O18" i="2"/>
  <c r="O19" i="2"/>
  <c r="O20" i="2"/>
  <c r="O21" i="2"/>
  <c r="O22" i="2"/>
  <c r="Q19" i="2"/>
  <c r="Q20" i="2"/>
  <c r="Q22" i="2"/>
  <c r="Q18" i="2"/>
  <c r="Q12" i="2"/>
  <c r="S20" i="2"/>
  <c r="S22" i="2"/>
  <c r="S18" i="2"/>
  <c r="Q8" i="2"/>
  <c r="O9" i="2"/>
  <c r="Q9" i="2"/>
  <c r="O10" i="2"/>
  <c r="Q10" i="2"/>
  <c r="O11" i="2"/>
  <c r="O12" i="2"/>
  <c r="O13" i="2"/>
  <c r="O14" i="2"/>
  <c r="O15" i="2"/>
  <c r="O17" i="2"/>
  <c r="O4" i="2"/>
  <c r="O6" i="2"/>
  <c r="O3" i="2"/>
  <c r="Q15" i="2"/>
  <c r="Q4" i="2"/>
  <c r="Q6" i="2"/>
  <c r="Q7" i="2"/>
  <c r="Q3" i="2"/>
  <c r="AL23" i="1"/>
  <c r="AN23" i="1"/>
  <c r="AN24" i="1"/>
  <c r="AN25" i="1"/>
  <c r="AP25" i="1"/>
  <c r="AP26" i="1"/>
  <c r="AN18" i="1"/>
  <c r="AP19" i="1"/>
  <c r="AL3" i="1"/>
  <c r="AN10" i="1"/>
  <c r="AN13" i="1"/>
  <c r="AP4" i="1"/>
  <c r="AP5" i="1"/>
  <c r="AL7" i="1"/>
  <c r="AL19" i="1"/>
  <c r="AC26" i="1"/>
  <c r="AC27" i="1"/>
  <c r="AA24" i="1"/>
  <c r="AA25" i="1"/>
  <c r="AA26" i="1"/>
  <c r="AA27" i="1"/>
  <c r="AE23" i="1"/>
  <c r="AE24" i="1"/>
  <c r="AE25" i="1"/>
  <c r="AE26" i="1"/>
  <c r="AE27" i="1"/>
  <c r="AA15" i="1"/>
  <c r="AC19" i="1"/>
  <c r="AC20" i="1"/>
  <c r="AC21" i="1"/>
  <c r="AC22" i="1"/>
  <c r="AC18" i="1"/>
  <c r="AC16" i="1"/>
  <c r="AE21" i="1"/>
  <c r="AE15" i="1"/>
  <c r="AE14" i="1"/>
  <c r="AC3" i="1"/>
  <c r="S23" i="1"/>
  <c r="O14" i="1"/>
  <c r="O15" i="1"/>
  <c r="O17" i="1"/>
  <c r="O13" i="1"/>
  <c r="Q18" i="1"/>
  <c r="O18" i="1" s="1"/>
  <c r="S14" i="1"/>
  <c r="S24" i="1" s="1"/>
  <c r="Q4" i="1"/>
  <c r="Q23" i="1" l="1"/>
  <c r="S15" i="1"/>
  <c r="S16" i="1" s="1"/>
  <c r="Q19" i="1"/>
  <c r="O19" i="1" s="1"/>
  <c r="S26" i="1" l="1"/>
  <c r="S20" i="1"/>
  <c r="Q16" i="1"/>
  <c r="O16" i="1" s="1"/>
  <c r="S17" i="1"/>
  <c r="S22" i="1" s="1"/>
  <c r="Q24" i="1"/>
  <c r="O24" i="1" s="1"/>
  <c r="S27" i="1" l="1"/>
  <c r="Q27" i="1" s="1"/>
  <c r="O27" i="1" s="1"/>
  <c r="Q22" i="1"/>
  <c r="O22" i="1" s="1"/>
  <c r="Q21" i="1"/>
  <c r="O21" i="1" s="1"/>
  <c r="S25" i="1"/>
  <c r="Q20" i="1"/>
  <c r="O20" i="1" s="1"/>
  <c r="Q26" i="1"/>
  <c r="Q25" i="1" l="1"/>
  <c r="O25" i="1" s="1"/>
</calcChain>
</file>

<file path=xl/sharedStrings.xml><?xml version="1.0" encoding="utf-8"?>
<sst xmlns="http://schemas.openxmlformats.org/spreadsheetml/2006/main" count="618" uniqueCount="61">
  <si>
    <t>Sample Sizes</t>
  </si>
  <si>
    <t>User</t>
  </si>
  <si>
    <t>Mail</t>
  </si>
  <si>
    <t>m</t>
  </si>
  <si>
    <t>n</t>
  </si>
  <si>
    <t>H</t>
  </si>
  <si>
    <t>IC ARL</t>
  </si>
  <si>
    <t>k</t>
  </si>
  <si>
    <t>IC ARL 250</t>
  </si>
  <si>
    <t>IC ARL 370</t>
  </si>
  <si>
    <t>IC ARL 500</t>
  </si>
  <si>
    <t>Shubham</t>
  </si>
  <si>
    <t>shubhamshinde23599@gmail.com</t>
  </si>
  <si>
    <t>R</t>
  </si>
  <si>
    <t xml:space="preserve">minip38032@sinyago.com </t>
  </si>
  <si>
    <t>R Program</t>
  </si>
  <si>
    <t xml:space="preserve">kadif15864@haislot.com </t>
  </si>
  <si>
    <t>Saurabh 1</t>
  </si>
  <si>
    <t>makego8759@idsho.com</t>
  </si>
  <si>
    <t>Reaserch</t>
  </si>
  <si>
    <t>jalap84772@runchet.com</t>
  </si>
  <si>
    <t>Solytics</t>
  </si>
  <si>
    <t xml:space="preserve">mqigmxwvedbgojnwdl@nthrl.com </t>
  </si>
  <si>
    <t>Ranjeet</t>
  </si>
  <si>
    <t xml:space="preserve">shubhamshinde230599@gmail.com </t>
  </si>
  <si>
    <t>Vijay</t>
  </si>
  <si>
    <t>zrlxxtmadxkkjeriun@cazlv.com</t>
  </si>
  <si>
    <t>Vinayak</t>
  </si>
  <si>
    <t xml:space="preserve">obdswtjavftmcbaqtp@kvhrr.com </t>
  </si>
  <si>
    <t>Juned</t>
  </si>
  <si>
    <t xml:space="preserve">hafalid125@funvane.com </t>
  </si>
  <si>
    <t>lamda</t>
  </si>
  <si>
    <t>Ajay</t>
  </si>
  <si>
    <t>sisebec973@luvnish.com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</si>
  <si>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</si>
  <si>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</si>
  <si>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</si>
  <si>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</si>
  <si>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</si>
  <si>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</si>
  <si>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</si>
  <si>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</si>
  <si>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</si>
  <si>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</si>
  <si>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</si>
  <si>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</si>
  <si>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</si>
  <si>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</si>
  <si>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</si>
  <si>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</si>
  <si>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</si>
  <si>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</si>
  <si>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</si>
  <si>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</si>
  <si>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</si>
  <si>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</si>
  <si>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</si>
  <si>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</si>
  <si>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K</t>
  </si>
  <si>
    <t>L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</si>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</sst>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164" fontId="1" fillId="0" borderId="5" xfId="0" applyNumberFormat="1" applyFont="1" applyBorder="1" applyAlignment="1">
      <alignment horizontal="center"/>
    </xf>
    <xf numFmtId="2" fontId="0" fillId="0" borderId="0" xfId="0" applyNumberFormat="1"/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/>
    </xf>
    <xf numFmtId="0" fontId="0" fillId="0" borderId="6" xfId="0" applyBorder="1"/>
    <xf numFmtId="0" fontId="2" fillId="0" borderId="7" xfId="1" applyBorder="1"/>
    <xf numFmtId="1" fontId="1" fillId="2" borderId="5" xfId="0" applyNumberFormat="1" applyFon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0" borderId="11" xfId="0" applyBorder="1"/>
    <xf numFmtId="0" fontId="2" fillId="0" borderId="0" xfId="1" applyBorder="1"/>
    <xf numFmtId="0" fontId="0" fillId="0" borderId="9" xfId="0" applyBorder="1"/>
    <xf numFmtId="0" fontId="2" fillId="0" borderId="10" xfId="1" applyBorder="1"/>
    <xf numFmtId="1" fontId="1" fillId="0" borderId="5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5" fillId="0" borderId="0" xfId="0" applyNumberFormat="1" applyFont="1"/>
    <xf numFmtId="2" fontId="4" fillId="2" borderId="5" xfId="1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2" borderId="5" xfId="0" applyNumberForma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Continuous"/>
    </xf>
    <xf numFmtId="165" fontId="6" fillId="0" borderId="4" xfId="0" applyNumberFormat="1" applyFont="1" applyBorder="1" applyAlignment="1">
      <alignment horizontal="center"/>
    </xf>
    <xf numFmtId="165" fontId="0" fillId="0" borderId="0" xfId="0" applyNumberFormat="1"/>
    <xf numFmtId="165" fontId="0" fillId="0" borderId="12" xfId="0" applyNumberFormat="1" applyBorder="1"/>
    <xf numFmtId="1" fontId="0" fillId="0" borderId="0" xfId="0" applyNumberFormat="1"/>
    <xf numFmtId="165" fontId="0" fillId="0" borderId="5" xfId="0" applyNumberForma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5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qigmxwvedbgojnwdl@nthrl.com" TargetMode="External"/><Relationship Id="rId21" Type="http://schemas.openxmlformats.org/officeDocument/2006/relationships/hyperlink" Target="mailto:shubhamshinde23599@gmail.com" TargetMode="External"/><Relationship Id="rId42" Type="http://schemas.openxmlformats.org/officeDocument/2006/relationships/hyperlink" Target="mailto:minip38032@sinyago.com" TargetMode="External"/><Relationship Id="rId47" Type="http://schemas.openxmlformats.org/officeDocument/2006/relationships/hyperlink" Target="mailto:shubhamshinde230599@gmail.com" TargetMode="External"/><Relationship Id="rId63" Type="http://schemas.openxmlformats.org/officeDocument/2006/relationships/hyperlink" Target="mailto:zrlxxtmadxkkjeriun@cazlv.com" TargetMode="External"/><Relationship Id="rId68" Type="http://schemas.openxmlformats.org/officeDocument/2006/relationships/hyperlink" Target="mailto:kadif15864@haislot.com" TargetMode="External"/><Relationship Id="rId84" Type="http://schemas.openxmlformats.org/officeDocument/2006/relationships/hyperlink" Target="mailto:makego8759@idsho.com" TargetMode="External"/><Relationship Id="rId89" Type="http://schemas.openxmlformats.org/officeDocument/2006/relationships/hyperlink" Target="mailto:obdswtjavftmcbaqtp@kvhrr.com" TargetMode="External"/><Relationship Id="rId16" Type="http://schemas.openxmlformats.org/officeDocument/2006/relationships/hyperlink" Target="mailto:mqigmxwvedbgojnwdl@nthrl.com" TargetMode="External"/><Relationship Id="rId11" Type="http://schemas.openxmlformats.org/officeDocument/2006/relationships/hyperlink" Target="mailto:shubhamshinde23599@gmail.com" TargetMode="External"/><Relationship Id="rId32" Type="http://schemas.openxmlformats.org/officeDocument/2006/relationships/hyperlink" Target="mailto:shubhamshinde230599@gmail.com" TargetMode="External"/><Relationship Id="rId37" Type="http://schemas.openxmlformats.org/officeDocument/2006/relationships/hyperlink" Target="mailto:shubhamshinde230599@gmail.com" TargetMode="External"/><Relationship Id="rId53" Type="http://schemas.openxmlformats.org/officeDocument/2006/relationships/hyperlink" Target="mailto:kadif15864@haislot.com" TargetMode="External"/><Relationship Id="rId58" Type="http://schemas.openxmlformats.org/officeDocument/2006/relationships/hyperlink" Target="mailto:kadif15864@haislot.com" TargetMode="External"/><Relationship Id="rId74" Type="http://schemas.openxmlformats.org/officeDocument/2006/relationships/hyperlink" Target="mailto:obdswtjavftmcbaqtp@kvhrr.com" TargetMode="External"/><Relationship Id="rId79" Type="http://schemas.openxmlformats.org/officeDocument/2006/relationships/hyperlink" Target="mailto:obdswtjavftmcbaqtp@kvhrr.com" TargetMode="External"/><Relationship Id="rId5" Type="http://schemas.openxmlformats.org/officeDocument/2006/relationships/hyperlink" Target="mailto:jalap84772@runchet.com" TargetMode="External"/><Relationship Id="rId90" Type="http://schemas.openxmlformats.org/officeDocument/2006/relationships/hyperlink" Target="mailto:sisebec973@luvnish.com" TargetMode="External"/><Relationship Id="rId95" Type="http://schemas.openxmlformats.org/officeDocument/2006/relationships/hyperlink" Target="mailto:jalap84772@runchet.com" TargetMode="External"/><Relationship Id="rId22" Type="http://schemas.openxmlformats.org/officeDocument/2006/relationships/hyperlink" Target="mailto:minip38032@sinyago.com" TargetMode="External"/><Relationship Id="rId27" Type="http://schemas.openxmlformats.org/officeDocument/2006/relationships/hyperlink" Target="mailto:shubhamshinde230599@gmail.com" TargetMode="External"/><Relationship Id="rId43" Type="http://schemas.openxmlformats.org/officeDocument/2006/relationships/hyperlink" Target="mailto:kadif15864@haislot.com" TargetMode="External"/><Relationship Id="rId48" Type="http://schemas.openxmlformats.org/officeDocument/2006/relationships/hyperlink" Target="mailto:zrlxxtmadxkkjeriun@cazlv.com" TargetMode="External"/><Relationship Id="rId64" Type="http://schemas.openxmlformats.org/officeDocument/2006/relationships/hyperlink" Target="mailto:obdswtjavftmcbaqtp@kvhrr.com" TargetMode="External"/><Relationship Id="rId69" Type="http://schemas.openxmlformats.org/officeDocument/2006/relationships/hyperlink" Target="mailto:makego8759@idsho.com" TargetMode="External"/><Relationship Id="rId80" Type="http://schemas.openxmlformats.org/officeDocument/2006/relationships/hyperlink" Target="mailto:sisebec973@luvnish.com" TargetMode="External"/><Relationship Id="rId85" Type="http://schemas.openxmlformats.org/officeDocument/2006/relationships/hyperlink" Target="mailto:jalap84772@runchet.com" TargetMode="External"/><Relationship Id="rId12" Type="http://schemas.openxmlformats.org/officeDocument/2006/relationships/hyperlink" Target="mailto:minip38032@sinyago.com" TargetMode="External"/><Relationship Id="rId17" Type="http://schemas.openxmlformats.org/officeDocument/2006/relationships/hyperlink" Target="mailto:shubhamshinde230599@gmail.com" TargetMode="External"/><Relationship Id="rId25" Type="http://schemas.openxmlformats.org/officeDocument/2006/relationships/hyperlink" Target="mailto:jalap84772@runchet.com" TargetMode="External"/><Relationship Id="rId33" Type="http://schemas.openxmlformats.org/officeDocument/2006/relationships/hyperlink" Target="mailto:zrlxxtmadxkkjeriun@cazlv.com" TargetMode="External"/><Relationship Id="rId38" Type="http://schemas.openxmlformats.org/officeDocument/2006/relationships/hyperlink" Target="mailto:zrlxxtmadxkkjeriun@cazlv.com" TargetMode="External"/><Relationship Id="rId46" Type="http://schemas.openxmlformats.org/officeDocument/2006/relationships/hyperlink" Target="mailto:mqigmxwvedbgojnwdl@nthrl.com" TargetMode="External"/><Relationship Id="rId59" Type="http://schemas.openxmlformats.org/officeDocument/2006/relationships/hyperlink" Target="mailto:makego8759@idsho.com" TargetMode="External"/><Relationship Id="rId67" Type="http://schemas.openxmlformats.org/officeDocument/2006/relationships/hyperlink" Target="mailto:minip38032@sinyago.com" TargetMode="External"/><Relationship Id="rId20" Type="http://schemas.openxmlformats.org/officeDocument/2006/relationships/hyperlink" Target="mailto:hafalid125@funvane.com" TargetMode="External"/><Relationship Id="rId41" Type="http://schemas.openxmlformats.org/officeDocument/2006/relationships/hyperlink" Target="mailto:shubhamshinde23599@gmail.com" TargetMode="External"/><Relationship Id="rId54" Type="http://schemas.openxmlformats.org/officeDocument/2006/relationships/hyperlink" Target="mailto:makego8759@idsho.com" TargetMode="External"/><Relationship Id="rId62" Type="http://schemas.openxmlformats.org/officeDocument/2006/relationships/hyperlink" Target="mailto:shubhamshinde230599@gmail.com" TargetMode="External"/><Relationship Id="rId70" Type="http://schemas.openxmlformats.org/officeDocument/2006/relationships/hyperlink" Target="mailto:jalap84772@runchet.com" TargetMode="External"/><Relationship Id="rId75" Type="http://schemas.openxmlformats.org/officeDocument/2006/relationships/hyperlink" Target="mailto:sisebec973@luvnish.com" TargetMode="External"/><Relationship Id="rId83" Type="http://schemas.openxmlformats.org/officeDocument/2006/relationships/hyperlink" Target="mailto:kadif15864@haislot.com" TargetMode="External"/><Relationship Id="rId88" Type="http://schemas.openxmlformats.org/officeDocument/2006/relationships/hyperlink" Target="mailto:zrlxxtmadxkkjeriun@cazlv.com" TargetMode="External"/><Relationship Id="rId91" Type="http://schemas.openxmlformats.org/officeDocument/2006/relationships/hyperlink" Target="mailto:shubhamshinde23599@gmail.com" TargetMode="External"/><Relationship Id="rId96" Type="http://schemas.openxmlformats.org/officeDocument/2006/relationships/hyperlink" Target="mailto:shubhamshinde23599@gmail.com" TargetMode="External"/><Relationship Id="rId1" Type="http://schemas.openxmlformats.org/officeDocument/2006/relationships/hyperlink" Target="mailto:shubhamshinde23599@gmail.com" TargetMode="External"/><Relationship Id="rId6" Type="http://schemas.openxmlformats.org/officeDocument/2006/relationships/hyperlink" Target="mailto:shubhamshinde23599@gmail.com" TargetMode="External"/><Relationship Id="rId15" Type="http://schemas.openxmlformats.org/officeDocument/2006/relationships/hyperlink" Target="mailto:jalap84772@runchet.com" TargetMode="External"/><Relationship Id="rId23" Type="http://schemas.openxmlformats.org/officeDocument/2006/relationships/hyperlink" Target="mailto:kadif15864@haislot.com" TargetMode="External"/><Relationship Id="rId28" Type="http://schemas.openxmlformats.org/officeDocument/2006/relationships/hyperlink" Target="mailto:zrlxxtmadxkkjeriun@cazlv.com" TargetMode="External"/><Relationship Id="rId36" Type="http://schemas.openxmlformats.org/officeDocument/2006/relationships/hyperlink" Target="mailto:mqigmxwvedbgojnwdl@nthrl.com" TargetMode="External"/><Relationship Id="rId49" Type="http://schemas.openxmlformats.org/officeDocument/2006/relationships/hyperlink" Target="mailto:obdswtjavftmcbaqtp@kvhrr.com" TargetMode="External"/><Relationship Id="rId57" Type="http://schemas.openxmlformats.org/officeDocument/2006/relationships/hyperlink" Target="mailto:minip38032@sinyago.com" TargetMode="External"/><Relationship Id="rId10" Type="http://schemas.openxmlformats.org/officeDocument/2006/relationships/hyperlink" Target="mailto:jalap84772@runchet.com" TargetMode="External"/><Relationship Id="rId31" Type="http://schemas.openxmlformats.org/officeDocument/2006/relationships/hyperlink" Target="mailto:mqigmxwvedbgojnwdl@nthrl.com" TargetMode="External"/><Relationship Id="rId44" Type="http://schemas.openxmlformats.org/officeDocument/2006/relationships/hyperlink" Target="mailto:makego8759@idsho.com" TargetMode="External"/><Relationship Id="rId52" Type="http://schemas.openxmlformats.org/officeDocument/2006/relationships/hyperlink" Target="mailto:minip38032@sinyago.com" TargetMode="External"/><Relationship Id="rId60" Type="http://schemas.openxmlformats.org/officeDocument/2006/relationships/hyperlink" Target="mailto:jalap84772@runchet.com" TargetMode="External"/><Relationship Id="rId65" Type="http://schemas.openxmlformats.org/officeDocument/2006/relationships/hyperlink" Target="mailto:sisebec973@luvnish.com" TargetMode="External"/><Relationship Id="rId73" Type="http://schemas.openxmlformats.org/officeDocument/2006/relationships/hyperlink" Target="mailto:zrlxxtmadxkkjeriun@cazlv.com" TargetMode="External"/><Relationship Id="rId78" Type="http://schemas.openxmlformats.org/officeDocument/2006/relationships/hyperlink" Target="mailto:zrlxxtmadxkkjeriun@cazlv.com" TargetMode="External"/><Relationship Id="rId81" Type="http://schemas.openxmlformats.org/officeDocument/2006/relationships/hyperlink" Target="mailto:shubhamshinde23599@gmail.com" TargetMode="External"/><Relationship Id="rId86" Type="http://schemas.openxmlformats.org/officeDocument/2006/relationships/hyperlink" Target="mailto:mqigmxwvedbgojnwdl@nthrl.com" TargetMode="External"/><Relationship Id="rId94" Type="http://schemas.openxmlformats.org/officeDocument/2006/relationships/hyperlink" Target="mailto:makego8759@idsho.com" TargetMode="External"/><Relationship Id="rId99" Type="http://schemas.openxmlformats.org/officeDocument/2006/relationships/hyperlink" Target="mailto:makego8759@idsho.com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mailto:makego8759@idsho.com" TargetMode="External"/><Relationship Id="rId9" Type="http://schemas.openxmlformats.org/officeDocument/2006/relationships/hyperlink" Target="mailto:makego8759@idsho.com" TargetMode="External"/><Relationship Id="rId13" Type="http://schemas.openxmlformats.org/officeDocument/2006/relationships/hyperlink" Target="mailto:kadif15864@haislot.com" TargetMode="External"/><Relationship Id="rId18" Type="http://schemas.openxmlformats.org/officeDocument/2006/relationships/hyperlink" Target="mailto:zrlxxtmadxkkjeriun@cazlv.com" TargetMode="External"/><Relationship Id="rId39" Type="http://schemas.openxmlformats.org/officeDocument/2006/relationships/hyperlink" Target="mailto:obdswtjavftmcbaqtp@kvhrr.com" TargetMode="External"/><Relationship Id="rId34" Type="http://schemas.openxmlformats.org/officeDocument/2006/relationships/hyperlink" Target="mailto:obdswtjavftmcbaqtp@kvhrr.com" TargetMode="External"/><Relationship Id="rId50" Type="http://schemas.openxmlformats.org/officeDocument/2006/relationships/hyperlink" Target="mailto:sisebec973@luvnish.com" TargetMode="External"/><Relationship Id="rId55" Type="http://schemas.openxmlformats.org/officeDocument/2006/relationships/hyperlink" Target="mailto:jalap84772@runchet.com" TargetMode="External"/><Relationship Id="rId76" Type="http://schemas.openxmlformats.org/officeDocument/2006/relationships/hyperlink" Target="mailto:mqigmxwvedbgojnwdl@nthrl.com" TargetMode="External"/><Relationship Id="rId97" Type="http://schemas.openxmlformats.org/officeDocument/2006/relationships/hyperlink" Target="mailto:minip38032@sinyago.com" TargetMode="External"/><Relationship Id="rId7" Type="http://schemas.openxmlformats.org/officeDocument/2006/relationships/hyperlink" Target="mailto:minip38032@sinyago.com" TargetMode="External"/><Relationship Id="rId71" Type="http://schemas.openxmlformats.org/officeDocument/2006/relationships/hyperlink" Target="mailto:mqigmxwvedbgojnwdl@nthrl.com" TargetMode="External"/><Relationship Id="rId92" Type="http://schemas.openxmlformats.org/officeDocument/2006/relationships/hyperlink" Target="mailto:minip38032@sinyago.com" TargetMode="External"/><Relationship Id="rId2" Type="http://schemas.openxmlformats.org/officeDocument/2006/relationships/hyperlink" Target="mailto:minip38032@sinyago.com" TargetMode="External"/><Relationship Id="rId29" Type="http://schemas.openxmlformats.org/officeDocument/2006/relationships/hyperlink" Target="mailto:obdswtjavftmcbaqtp@kvhrr.com" TargetMode="External"/><Relationship Id="rId24" Type="http://schemas.openxmlformats.org/officeDocument/2006/relationships/hyperlink" Target="mailto:makego8759@idsho.com" TargetMode="External"/><Relationship Id="rId40" Type="http://schemas.openxmlformats.org/officeDocument/2006/relationships/hyperlink" Target="mailto:sisebec973@luvnish.com" TargetMode="External"/><Relationship Id="rId45" Type="http://schemas.openxmlformats.org/officeDocument/2006/relationships/hyperlink" Target="mailto:jalap84772@runchet.com" TargetMode="External"/><Relationship Id="rId66" Type="http://schemas.openxmlformats.org/officeDocument/2006/relationships/hyperlink" Target="mailto:shubhamshinde23599@gmail.com" TargetMode="External"/><Relationship Id="rId87" Type="http://schemas.openxmlformats.org/officeDocument/2006/relationships/hyperlink" Target="mailto:shubhamshinde230599@gmail.com" TargetMode="External"/><Relationship Id="rId61" Type="http://schemas.openxmlformats.org/officeDocument/2006/relationships/hyperlink" Target="mailto:mqigmxwvedbgojnwdl@nthrl.com" TargetMode="External"/><Relationship Id="rId82" Type="http://schemas.openxmlformats.org/officeDocument/2006/relationships/hyperlink" Target="mailto:minip38032@sinyago.com" TargetMode="External"/><Relationship Id="rId19" Type="http://schemas.openxmlformats.org/officeDocument/2006/relationships/hyperlink" Target="mailto:obdswtjavftmcbaqtp@kvhrr.com" TargetMode="External"/><Relationship Id="rId14" Type="http://schemas.openxmlformats.org/officeDocument/2006/relationships/hyperlink" Target="mailto:makego8759@idsho.com" TargetMode="External"/><Relationship Id="rId30" Type="http://schemas.openxmlformats.org/officeDocument/2006/relationships/hyperlink" Target="mailto:hafalid125@funvane.com" TargetMode="External"/><Relationship Id="rId35" Type="http://schemas.openxmlformats.org/officeDocument/2006/relationships/hyperlink" Target="mailto:hafalid125@funvane.com" TargetMode="External"/><Relationship Id="rId56" Type="http://schemas.openxmlformats.org/officeDocument/2006/relationships/hyperlink" Target="mailto:shubhamshinde23599@gmail.com" TargetMode="External"/><Relationship Id="rId77" Type="http://schemas.openxmlformats.org/officeDocument/2006/relationships/hyperlink" Target="mailto:shubhamshinde230599@gmail.com" TargetMode="External"/><Relationship Id="rId100" Type="http://schemas.openxmlformats.org/officeDocument/2006/relationships/hyperlink" Target="mailto:jalap84772@runchet.com" TargetMode="External"/><Relationship Id="rId8" Type="http://schemas.openxmlformats.org/officeDocument/2006/relationships/hyperlink" Target="mailto:kadif15864@haislot.com" TargetMode="External"/><Relationship Id="rId51" Type="http://schemas.openxmlformats.org/officeDocument/2006/relationships/hyperlink" Target="mailto:shubhamshinde23599@gmail.com" TargetMode="External"/><Relationship Id="rId72" Type="http://schemas.openxmlformats.org/officeDocument/2006/relationships/hyperlink" Target="mailto:shubhamshinde230599@gmail.com" TargetMode="External"/><Relationship Id="rId93" Type="http://schemas.openxmlformats.org/officeDocument/2006/relationships/hyperlink" Target="mailto:kadif15864@haislot.com" TargetMode="External"/><Relationship Id="rId98" Type="http://schemas.openxmlformats.org/officeDocument/2006/relationships/hyperlink" Target="mailto:kadif15864@haislot.com" TargetMode="External"/><Relationship Id="rId3" Type="http://schemas.openxmlformats.org/officeDocument/2006/relationships/hyperlink" Target="mailto:kadif15864@haislot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mqigmxwvedbgojnwdl@nthrl.com" TargetMode="External"/><Relationship Id="rId21" Type="http://schemas.openxmlformats.org/officeDocument/2006/relationships/hyperlink" Target="mailto:shubhamshinde23599@gmail.com" TargetMode="External"/><Relationship Id="rId42" Type="http://schemas.openxmlformats.org/officeDocument/2006/relationships/hyperlink" Target="mailto:minip38032@sinyago.com" TargetMode="External"/><Relationship Id="rId47" Type="http://schemas.openxmlformats.org/officeDocument/2006/relationships/hyperlink" Target="mailto:shubhamshinde230599@gmail.com" TargetMode="External"/><Relationship Id="rId63" Type="http://schemas.openxmlformats.org/officeDocument/2006/relationships/hyperlink" Target="mailto:zrlxxtmadxkkjeriun@cazlv.com" TargetMode="External"/><Relationship Id="rId68" Type="http://schemas.openxmlformats.org/officeDocument/2006/relationships/hyperlink" Target="mailto:kadif15864@haislot.com" TargetMode="External"/><Relationship Id="rId84" Type="http://schemas.openxmlformats.org/officeDocument/2006/relationships/hyperlink" Target="mailto:makego8759@idsho.com" TargetMode="External"/><Relationship Id="rId89" Type="http://schemas.openxmlformats.org/officeDocument/2006/relationships/hyperlink" Target="mailto:obdswtjavftmcbaqtp@kvhrr.com" TargetMode="External"/><Relationship Id="rId16" Type="http://schemas.openxmlformats.org/officeDocument/2006/relationships/hyperlink" Target="mailto:mqigmxwvedbgojnwdl@nthrl.com" TargetMode="External"/><Relationship Id="rId11" Type="http://schemas.openxmlformats.org/officeDocument/2006/relationships/hyperlink" Target="mailto:shubhamshinde23599@gmail.com" TargetMode="External"/><Relationship Id="rId32" Type="http://schemas.openxmlformats.org/officeDocument/2006/relationships/hyperlink" Target="mailto:shubhamshinde230599@gmail.com" TargetMode="External"/><Relationship Id="rId37" Type="http://schemas.openxmlformats.org/officeDocument/2006/relationships/hyperlink" Target="mailto:shubhamshinde230599@gmail.com" TargetMode="External"/><Relationship Id="rId53" Type="http://schemas.openxmlformats.org/officeDocument/2006/relationships/hyperlink" Target="mailto:kadif15864@haislot.com" TargetMode="External"/><Relationship Id="rId58" Type="http://schemas.openxmlformats.org/officeDocument/2006/relationships/hyperlink" Target="mailto:kadif15864@haislot.com" TargetMode="External"/><Relationship Id="rId74" Type="http://schemas.openxmlformats.org/officeDocument/2006/relationships/hyperlink" Target="mailto:obdswtjavftmcbaqtp@kvhrr.com" TargetMode="External"/><Relationship Id="rId79" Type="http://schemas.openxmlformats.org/officeDocument/2006/relationships/hyperlink" Target="mailto:obdswtjavftmcbaqtp@kvhrr.com" TargetMode="External"/><Relationship Id="rId5" Type="http://schemas.openxmlformats.org/officeDocument/2006/relationships/hyperlink" Target="mailto:jalap84772@runchet.com" TargetMode="External"/><Relationship Id="rId90" Type="http://schemas.openxmlformats.org/officeDocument/2006/relationships/hyperlink" Target="mailto:sisebec973@luvnish.com" TargetMode="External"/><Relationship Id="rId95" Type="http://schemas.openxmlformats.org/officeDocument/2006/relationships/hyperlink" Target="mailto:jalap84772@runchet.com" TargetMode="External"/><Relationship Id="rId22" Type="http://schemas.openxmlformats.org/officeDocument/2006/relationships/hyperlink" Target="mailto:minip38032@sinyago.com" TargetMode="External"/><Relationship Id="rId27" Type="http://schemas.openxmlformats.org/officeDocument/2006/relationships/hyperlink" Target="mailto:shubhamshinde230599@gmail.com" TargetMode="External"/><Relationship Id="rId43" Type="http://schemas.openxmlformats.org/officeDocument/2006/relationships/hyperlink" Target="mailto:kadif15864@haislot.com" TargetMode="External"/><Relationship Id="rId48" Type="http://schemas.openxmlformats.org/officeDocument/2006/relationships/hyperlink" Target="mailto:zrlxxtmadxkkjeriun@cazlv.com" TargetMode="External"/><Relationship Id="rId64" Type="http://schemas.openxmlformats.org/officeDocument/2006/relationships/hyperlink" Target="mailto:obdswtjavftmcbaqtp@kvhrr.com" TargetMode="External"/><Relationship Id="rId69" Type="http://schemas.openxmlformats.org/officeDocument/2006/relationships/hyperlink" Target="mailto:makego8759@idsho.com" TargetMode="External"/><Relationship Id="rId80" Type="http://schemas.openxmlformats.org/officeDocument/2006/relationships/hyperlink" Target="mailto:sisebec973@luvnish.com" TargetMode="External"/><Relationship Id="rId85" Type="http://schemas.openxmlformats.org/officeDocument/2006/relationships/hyperlink" Target="mailto:jalap84772@runchet.com" TargetMode="External"/><Relationship Id="rId12" Type="http://schemas.openxmlformats.org/officeDocument/2006/relationships/hyperlink" Target="mailto:minip38032@sinyago.com" TargetMode="External"/><Relationship Id="rId17" Type="http://schemas.openxmlformats.org/officeDocument/2006/relationships/hyperlink" Target="mailto:shubhamshinde230599@gmail.com" TargetMode="External"/><Relationship Id="rId25" Type="http://schemas.openxmlformats.org/officeDocument/2006/relationships/hyperlink" Target="mailto:jalap84772@runchet.com" TargetMode="External"/><Relationship Id="rId33" Type="http://schemas.openxmlformats.org/officeDocument/2006/relationships/hyperlink" Target="mailto:zrlxxtmadxkkjeriun@cazlv.com" TargetMode="External"/><Relationship Id="rId38" Type="http://schemas.openxmlformats.org/officeDocument/2006/relationships/hyperlink" Target="mailto:zrlxxtmadxkkjeriun@cazlv.com" TargetMode="External"/><Relationship Id="rId46" Type="http://schemas.openxmlformats.org/officeDocument/2006/relationships/hyperlink" Target="mailto:mqigmxwvedbgojnwdl@nthrl.com" TargetMode="External"/><Relationship Id="rId59" Type="http://schemas.openxmlformats.org/officeDocument/2006/relationships/hyperlink" Target="mailto:makego8759@idsho.com" TargetMode="External"/><Relationship Id="rId67" Type="http://schemas.openxmlformats.org/officeDocument/2006/relationships/hyperlink" Target="mailto:minip38032@sinyago.com" TargetMode="External"/><Relationship Id="rId20" Type="http://schemas.openxmlformats.org/officeDocument/2006/relationships/hyperlink" Target="mailto:hafalid125@funvane.com" TargetMode="External"/><Relationship Id="rId41" Type="http://schemas.openxmlformats.org/officeDocument/2006/relationships/hyperlink" Target="mailto:shubhamshinde23599@gmail.com" TargetMode="External"/><Relationship Id="rId54" Type="http://schemas.openxmlformats.org/officeDocument/2006/relationships/hyperlink" Target="mailto:makego8759@idsho.com" TargetMode="External"/><Relationship Id="rId62" Type="http://schemas.openxmlformats.org/officeDocument/2006/relationships/hyperlink" Target="mailto:shubhamshinde230599@gmail.com" TargetMode="External"/><Relationship Id="rId70" Type="http://schemas.openxmlformats.org/officeDocument/2006/relationships/hyperlink" Target="mailto:jalap84772@runchet.com" TargetMode="External"/><Relationship Id="rId75" Type="http://schemas.openxmlformats.org/officeDocument/2006/relationships/hyperlink" Target="mailto:sisebec973@luvnish.com" TargetMode="External"/><Relationship Id="rId83" Type="http://schemas.openxmlformats.org/officeDocument/2006/relationships/hyperlink" Target="mailto:kadif15864@haislot.com" TargetMode="External"/><Relationship Id="rId88" Type="http://schemas.openxmlformats.org/officeDocument/2006/relationships/hyperlink" Target="mailto:zrlxxtmadxkkjeriun@cazlv.com" TargetMode="External"/><Relationship Id="rId91" Type="http://schemas.openxmlformats.org/officeDocument/2006/relationships/hyperlink" Target="mailto:shubhamshinde23599@gmail.com" TargetMode="External"/><Relationship Id="rId96" Type="http://schemas.openxmlformats.org/officeDocument/2006/relationships/hyperlink" Target="mailto:shubhamshinde23599@gmail.com" TargetMode="External"/><Relationship Id="rId1" Type="http://schemas.openxmlformats.org/officeDocument/2006/relationships/hyperlink" Target="mailto:shubhamshinde23599@gmail.com" TargetMode="External"/><Relationship Id="rId6" Type="http://schemas.openxmlformats.org/officeDocument/2006/relationships/hyperlink" Target="mailto:shubhamshinde23599@gmail.com" TargetMode="External"/><Relationship Id="rId15" Type="http://schemas.openxmlformats.org/officeDocument/2006/relationships/hyperlink" Target="mailto:jalap84772@runchet.com" TargetMode="External"/><Relationship Id="rId23" Type="http://schemas.openxmlformats.org/officeDocument/2006/relationships/hyperlink" Target="mailto:kadif15864@haislot.com" TargetMode="External"/><Relationship Id="rId28" Type="http://schemas.openxmlformats.org/officeDocument/2006/relationships/hyperlink" Target="mailto:zrlxxtmadxkkjeriun@cazlv.com" TargetMode="External"/><Relationship Id="rId36" Type="http://schemas.openxmlformats.org/officeDocument/2006/relationships/hyperlink" Target="mailto:mqigmxwvedbgojnwdl@nthrl.com" TargetMode="External"/><Relationship Id="rId49" Type="http://schemas.openxmlformats.org/officeDocument/2006/relationships/hyperlink" Target="mailto:obdswtjavftmcbaqtp@kvhrr.com" TargetMode="External"/><Relationship Id="rId57" Type="http://schemas.openxmlformats.org/officeDocument/2006/relationships/hyperlink" Target="mailto:minip38032@sinyago.com" TargetMode="External"/><Relationship Id="rId10" Type="http://schemas.openxmlformats.org/officeDocument/2006/relationships/hyperlink" Target="mailto:jalap84772@runchet.com" TargetMode="External"/><Relationship Id="rId31" Type="http://schemas.openxmlformats.org/officeDocument/2006/relationships/hyperlink" Target="mailto:mqigmxwvedbgojnwdl@nthrl.com" TargetMode="External"/><Relationship Id="rId44" Type="http://schemas.openxmlformats.org/officeDocument/2006/relationships/hyperlink" Target="mailto:makego8759@idsho.com" TargetMode="External"/><Relationship Id="rId52" Type="http://schemas.openxmlformats.org/officeDocument/2006/relationships/hyperlink" Target="mailto:minip38032@sinyago.com" TargetMode="External"/><Relationship Id="rId60" Type="http://schemas.openxmlformats.org/officeDocument/2006/relationships/hyperlink" Target="mailto:jalap84772@runchet.com" TargetMode="External"/><Relationship Id="rId65" Type="http://schemas.openxmlformats.org/officeDocument/2006/relationships/hyperlink" Target="mailto:sisebec973@luvnish.com" TargetMode="External"/><Relationship Id="rId73" Type="http://schemas.openxmlformats.org/officeDocument/2006/relationships/hyperlink" Target="mailto:zrlxxtmadxkkjeriun@cazlv.com" TargetMode="External"/><Relationship Id="rId78" Type="http://schemas.openxmlformats.org/officeDocument/2006/relationships/hyperlink" Target="mailto:zrlxxtmadxkkjeriun@cazlv.com" TargetMode="External"/><Relationship Id="rId81" Type="http://schemas.openxmlformats.org/officeDocument/2006/relationships/hyperlink" Target="mailto:shubhamshinde23599@gmail.com" TargetMode="External"/><Relationship Id="rId86" Type="http://schemas.openxmlformats.org/officeDocument/2006/relationships/hyperlink" Target="mailto:mqigmxwvedbgojnwdl@nthrl.com" TargetMode="External"/><Relationship Id="rId94" Type="http://schemas.openxmlformats.org/officeDocument/2006/relationships/hyperlink" Target="mailto:makego8759@idsho.com" TargetMode="External"/><Relationship Id="rId99" Type="http://schemas.openxmlformats.org/officeDocument/2006/relationships/hyperlink" Target="mailto:makego8759@idsho.com" TargetMode="External"/><Relationship Id="rId101" Type="http://schemas.openxmlformats.org/officeDocument/2006/relationships/printerSettings" Target="../printerSettings/printerSettings2.bin"/><Relationship Id="rId4" Type="http://schemas.openxmlformats.org/officeDocument/2006/relationships/hyperlink" Target="mailto:makego8759@idsho.com" TargetMode="External"/><Relationship Id="rId9" Type="http://schemas.openxmlformats.org/officeDocument/2006/relationships/hyperlink" Target="mailto:makego8759@idsho.com" TargetMode="External"/><Relationship Id="rId13" Type="http://schemas.openxmlformats.org/officeDocument/2006/relationships/hyperlink" Target="mailto:kadif15864@haislot.com" TargetMode="External"/><Relationship Id="rId18" Type="http://schemas.openxmlformats.org/officeDocument/2006/relationships/hyperlink" Target="mailto:zrlxxtmadxkkjeriun@cazlv.com" TargetMode="External"/><Relationship Id="rId39" Type="http://schemas.openxmlformats.org/officeDocument/2006/relationships/hyperlink" Target="mailto:obdswtjavftmcbaqtp@kvhrr.com" TargetMode="External"/><Relationship Id="rId34" Type="http://schemas.openxmlformats.org/officeDocument/2006/relationships/hyperlink" Target="mailto:obdswtjavftmcbaqtp@kvhrr.com" TargetMode="External"/><Relationship Id="rId50" Type="http://schemas.openxmlformats.org/officeDocument/2006/relationships/hyperlink" Target="mailto:sisebec973@luvnish.com" TargetMode="External"/><Relationship Id="rId55" Type="http://schemas.openxmlformats.org/officeDocument/2006/relationships/hyperlink" Target="mailto:jalap84772@runchet.com" TargetMode="External"/><Relationship Id="rId76" Type="http://schemas.openxmlformats.org/officeDocument/2006/relationships/hyperlink" Target="mailto:mqigmxwvedbgojnwdl@nthrl.com" TargetMode="External"/><Relationship Id="rId97" Type="http://schemas.openxmlformats.org/officeDocument/2006/relationships/hyperlink" Target="mailto:minip38032@sinyago.com" TargetMode="External"/><Relationship Id="rId7" Type="http://schemas.openxmlformats.org/officeDocument/2006/relationships/hyperlink" Target="mailto:minip38032@sinyago.com" TargetMode="External"/><Relationship Id="rId71" Type="http://schemas.openxmlformats.org/officeDocument/2006/relationships/hyperlink" Target="mailto:mqigmxwvedbgojnwdl@nthrl.com" TargetMode="External"/><Relationship Id="rId92" Type="http://schemas.openxmlformats.org/officeDocument/2006/relationships/hyperlink" Target="mailto:minip38032@sinyago.com" TargetMode="External"/><Relationship Id="rId2" Type="http://schemas.openxmlformats.org/officeDocument/2006/relationships/hyperlink" Target="mailto:minip38032@sinyago.com" TargetMode="External"/><Relationship Id="rId29" Type="http://schemas.openxmlformats.org/officeDocument/2006/relationships/hyperlink" Target="mailto:obdswtjavftmcbaqtp@kvhrr.com" TargetMode="External"/><Relationship Id="rId24" Type="http://schemas.openxmlformats.org/officeDocument/2006/relationships/hyperlink" Target="mailto:makego8759@idsho.com" TargetMode="External"/><Relationship Id="rId40" Type="http://schemas.openxmlformats.org/officeDocument/2006/relationships/hyperlink" Target="mailto:sisebec973@luvnish.com" TargetMode="External"/><Relationship Id="rId45" Type="http://schemas.openxmlformats.org/officeDocument/2006/relationships/hyperlink" Target="mailto:jalap84772@runchet.com" TargetMode="External"/><Relationship Id="rId66" Type="http://schemas.openxmlformats.org/officeDocument/2006/relationships/hyperlink" Target="mailto:shubhamshinde23599@gmail.com" TargetMode="External"/><Relationship Id="rId87" Type="http://schemas.openxmlformats.org/officeDocument/2006/relationships/hyperlink" Target="mailto:shubhamshinde230599@gmail.com" TargetMode="External"/><Relationship Id="rId61" Type="http://schemas.openxmlformats.org/officeDocument/2006/relationships/hyperlink" Target="mailto:mqigmxwvedbgojnwdl@nthrl.com" TargetMode="External"/><Relationship Id="rId82" Type="http://schemas.openxmlformats.org/officeDocument/2006/relationships/hyperlink" Target="mailto:minip38032@sinyago.com" TargetMode="External"/><Relationship Id="rId19" Type="http://schemas.openxmlformats.org/officeDocument/2006/relationships/hyperlink" Target="mailto:obdswtjavftmcbaqtp@kvhrr.com" TargetMode="External"/><Relationship Id="rId14" Type="http://schemas.openxmlformats.org/officeDocument/2006/relationships/hyperlink" Target="mailto:makego8759@idsho.com" TargetMode="External"/><Relationship Id="rId30" Type="http://schemas.openxmlformats.org/officeDocument/2006/relationships/hyperlink" Target="mailto:hafalid125@funvane.com" TargetMode="External"/><Relationship Id="rId35" Type="http://schemas.openxmlformats.org/officeDocument/2006/relationships/hyperlink" Target="mailto:hafalid125@funvane.com" TargetMode="External"/><Relationship Id="rId56" Type="http://schemas.openxmlformats.org/officeDocument/2006/relationships/hyperlink" Target="mailto:shubhamshinde23599@gmail.com" TargetMode="External"/><Relationship Id="rId77" Type="http://schemas.openxmlformats.org/officeDocument/2006/relationships/hyperlink" Target="mailto:shubhamshinde230599@gmail.com" TargetMode="External"/><Relationship Id="rId100" Type="http://schemas.openxmlformats.org/officeDocument/2006/relationships/hyperlink" Target="mailto:jalap84772@runchet.com" TargetMode="External"/><Relationship Id="rId8" Type="http://schemas.openxmlformats.org/officeDocument/2006/relationships/hyperlink" Target="mailto:kadif15864@haislot.com" TargetMode="External"/><Relationship Id="rId51" Type="http://schemas.openxmlformats.org/officeDocument/2006/relationships/hyperlink" Target="mailto:shubhamshinde23599@gmail.com" TargetMode="External"/><Relationship Id="rId72" Type="http://schemas.openxmlformats.org/officeDocument/2006/relationships/hyperlink" Target="mailto:shubhamshinde230599@gmail.com" TargetMode="External"/><Relationship Id="rId93" Type="http://schemas.openxmlformats.org/officeDocument/2006/relationships/hyperlink" Target="mailto:kadif15864@haislot.com" TargetMode="External"/><Relationship Id="rId98" Type="http://schemas.openxmlformats.org/officeDocument/2006/relationships/hyperlink" Target="mailto:kadif15864@haislot.com" TargetMode="External"/><Relationship Id="rId3" Type="http://schemas.openxmlformats.org/officeDocument/2006/relationships/hyperlink" Target="mailto:kadif15864@haislo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72CC-2589-473F-92B8-4270F8B5DF80}">
  <dimension ref="A1:AT27"/>
  <sheetViews>
    <sheetView workbookViewId="0">
      <selection activeCell="O8" sqref="O8"/>
    </sheetView>
  </sheetViews>
  <sheetFormatPr defaultRowHeight="14.4" x14ac:dyDescent="0.3"/>
  <cols>
    <col min="11" max="11" width="29.21875" bestFit="1" customWidth="1"/>
    <col min="12" max="12" width="6.5546875" style="5" customWidth="1"/>
    <col min="13" max="15" width="8.88671875" customWidth="1"/>
    <col min="16" max="16" width="9.77734375" customWidth="1"/>
    <col min="17" max="17" width="8.88671875" customWidth="1"/>
    <col min="18" max="18" width="9.77734375" customWidth="1"/>
    <col min="19" max="19" width="8.88671875" customWidth="1"/>
    <col min="20" max="20" width="9.77734375" style="21" customWidth="1"/>
    <col min="23" max="23" width="29.21875" bestFit="1" customWidth="1"/>
    <col min="24" max="24" width="6" bestFit="1" customWidth="1"/>
    <col min="25" max="26" width="8.88671875" customWidth="1"/>
    <col min="27" max="27" width="8.88671875" style="22" customWidth="1"/>
    <col min="28" max="28" width="8.88671875" style="23" customWidth="1"/>
    <col min="29" max="31" width="8.88671875" style="22" customWidth="1"/>
    <col min="32" max="33" width="8.88671875" customWidth="1"/>
    <col min="34" max="34" width="22.109375" bestFit="1" customWidth="1"/>
    <col min="38" max="38" width="6.21875" style="22" bestFit="1" customWidth="1"/>
    <col min="39" max="39" width="9.77734375" style="22" bestFit="1" customWidth="1"/>
    <col min="40" max="40" width="6.21875" style="22" bestFit="1" customWidth="1"/>
    <col min="41" max="41" width="9.77734375" style="22" bestFit="1" customWidth="1"/>
    <col min="42" max="42" width="6.21875" style="22" bestFit="1" customWidth="1"/>
    <col min="43" max="43" width="9.77734375" bestFit="1" customWidth="1"/>
    <col min="44" max="44" width="8.88671875" style="5"/>
    <col min="46" max="46" width="29.21875" bestFit="1" customWidth="1"/>
  </cols>
  <sheetData>
    <row r="1" spans="1:46" x14ac:dyDescent="0.3">
      <c r="A1" s="46" t="s">
        <v>0</v>
      </c>
      <c r="B1" s="47"/>
      <c r="C1" s="48">
        <v>250</v>
      </c>
      <c r="D1" s="47"/>
      <c r="E1" s="48">
        <v>370</v>
      </c>
      <c r="F1" s="49"/>
      <c r="G1" s="44">
        <v>500</v>
      </c>
      <c r="H1" s="44"/>
      <c r="J1" s="40" t="s">
        <v>1</v>
      </c>
      <c r="K1" s="42" t="s">
        <v>2</v>
      </c>
      <c r="L1" s="18"/>
      <c r="M1" s="44" t="s">
        <v>0</v>
      </c>
      <c r="N1" s="44"/>
      <c r="O1" s="44">
        <v>250</v>
      </c>
      <c r="P1" s="44"/>
      <c r="Q1" s="44">
        <v>370</v>
      </c>
      <c r="R1" s="44"/>
      <c r="S1" s="44">
        <v>500</v>
      </c>
      <c r="T1" s="44"/>
      <c r="V1" s="40" t="s">
        <v>1</v>
      </c>
      <c r="W1" s="25" t="s">
        <v>2</v>
      </c>
      <c r="X1" s="18"/>
      <c r="Y1" s="44" t="s">
        <v>0</v>
      </c>
      <c r="Z1" s="44"/>
      <c r="AA1" s="44">
        <v>250</v>
      </c>
      <c r="AB1" s="44"/>
      <c r="AC1" s="44">
        <v>370</v>
      </c>
      <c r="AD1" s="44"/>
      <c r="AE1" s="44">
        <v>500</v>
      </c>
      <c r="AF1" s="44"/>
      <c r="AI1" s="3"/>
      <c r="AJ1" s="44" t="s">
        <v>0</v>
      </c>
      <c r="AK1" s="44"/>
      <c r="AL1" s="45">
        <v>250</v>
      </c>
      <c r="AM1" s="45"/>
      <c r="AN1" s="45">
        <v>370</v>
      </c>
      <c r="AO1" s="45"/>
      <c r="AP1" s="45">
        <v>500</v>
      </c>
      <c r="AQ1" s="45"/>
      <c r="AS1" s="40" t="s">
        <v>1</v>
      </c>
      <c r="AT1" s="42" t="s">
        <v>2</v>
      </c>
    </row>
    <row r="2" spans="1:46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5</v>
      </c>
      <c r="F2" s="6" t="s">
        <v>6</v>
      </c>
      <c r="G2" s="1" t="s">
        <v>5</v>
      </c>
      <c r="H2" s="1" t="s">
        <v>6</v>
      </c>
      <c r="J2" s="41"/>
      <c r="K2" s="43"/>
      <c r="L2" s="18" t="s">
        <v>31</v>
      </c>
      <c r="M2" s="1" t="s">
        <v>3</v>
      </c>
      <c r="N2" s="1" t="s">
        <v>4</v>
      </c>
      <c r="O2" s="1" t="s">
        <v>5</v>
      </c>
      <c r="P2" s="1" t="s">
        <v>8</v>
      </c>
      <c r="Q2" s="1" t="s">
        <v>5</v>
      </c>
      <c r="R2" s="1" t="s">
        <v>9</v>
      </c>
      <c r="S2" s="1" t="s">
        <v>5</v>
      </c>
      <c r="T2" s="7" t="s">
        <v>10</v>
      </c>
      <c r="V2" s="41"/>
      <c r="W2" s="26"/>
      <c r="X2" s="18" t="s">
        <v>31</v>
      </c>
      <c r="Y2" s="1" t="s">
        <v>3</v>
      </c>
      <c r="Z2" s="1" t="s">
        <v>4</v>
      </c>
      <c r="AA2" s="1" t="s">
        <v>5</v>
      </c>
      <c r="AB2" s="1" t="s">
        <v>8</v>
      </c>
      <c r="AC2" s="1" t="s">
        <v>5</v>
      </c>
      <c r="AD2" s="1" t="s">
        <v>9</v>
      </c>
      <c r="AE2" s="1" t="s">
        <v>5</v>
      </c>
      <c r="AF2" s="7" t="s">
        <v>10</v>
      </c>
      <c r="AI2" s="1" t="s">
        <v>7</v>
      </c>
      <c r="AJ2" s="1" t="s">
        <v>3</v>
      </c>
      <c r="AK2" s="1" t="s">
        <v>4</v>
      </c>
      <c r="AL2" s="4" t="s">
        <v>5</v>
      </c>
      <c r="AM2" s="8" t="s">
        <v>8</v>
      </c>
      <c r="AN2" s="4" t="s">
        <v>5</v>
      </c>
      <c r="AO2" s="4" t="s">
        <v>9</v>
      </c>
      <c r="AP2" s="4" t="s">
        <v>5</v>
      </c>
      <c r="AQ2" s="1" t="s">
        <v>10</v>
      </c>
      <c r="AS2" s="41"/>
      <c r="AT2" s="43"/>
    </row>
    <row r="3" spans="1:46" x14ac:dyDescent="0.3">
      <c r="A3" s="1">
        <v>100</v>
      </c>
      <c r="B3" s="1">
        <v>5</v>
      </c>
      <c r="C3" s="2">
        <v>10.45</v>
      </c>
      <c r="D3" s="2">
        <v>250.07470000000001</v>
      </c>
      <c r="E3" s="2">
        <v>11.25</v>
      </c>
      <c r="F3" s="2">
        <v>366.61410000000001</v>
      </c>
      <c r="G3" s="2">
        <v>11.85</v>
      </c>
      <c r="H3" s="2">
        <v>504.91079999999999</v>
      </c>
      <c r="I3">
        <v>2.7881999999999998</v>
      </c>
      <c r="J3" s="9" t="s">
        <v>11</v>
      </c>
      <c r="K3" s="10" t="s">
        <v>12</v>
      </c>
      <c r="L3" s="24">
        <v>0.05</v>
      </c>
      <c r="M3" s="11">
        <v>100</v>
      </c>
      <c r="N3" s="11">
        <v>5</v>
      </c>
      <c r="O3" s="12">
        <v>2.66</v>
      </c>
      <c r="P3" s="12">
        <v>240.84569999999999</v>
      </c>
      <c r="Q3" s="12">
        <v>2.73</v>
      </c>
      <c r="R3" s="12">
        <v>360.27199999999999</v>
      </c>
      <c r="S3" s="12">
        <v>2.7881999999999998</v>
      </c>
      <c r="T3" s="19">
        <v>497.48349999999999</v>
      </c>
      <c r="V3" s="9" t="s">
        <v>11</v>
      </c>
      <c r="W3" s="10" t="s">
        <v>12</v>
      </c>
      <c r="X3" s="24">
        <v>0.1</v>
      </c>
      <c r="Y3" s="11">
        <v>100</v>
      </c>
      <c r="Z3" s="11">
        <v>5</v>
      </c>
      <c r="AA3" s="12">
        <v>3.1850000000000001</v>
      </c>
      <c r="AB3" s="12">
        <v>246.59889999999999</v>
      </c>
      <c r="AC3" s="12">
        <f>AE3-(S3-Q3)</f>
        <v>3.3458000000000001</v>
      </c>
      <c r="AD3" s="12">
        <v>385.5265</v>
      </c>
      <c r="AE3" s="20">
        <v>3.4039999999999999</v>
      </c>
      <c r="AF3" s="19">
        <v>504.0634</v>
      </c>
      <c r="AG3" s="9" t="s">
        <v>11</v>
      </c>
      <c r="AH3" s="10" t="s">
        <v>12</v>
      </c>
      <c r="AI3" s="24">
        <v>0.2</v>
      </c>
      <c r="AJ3" s="11">
        <v>100</v>
      </c>
      <c r="AK3" s="11">
        <v>5</v>
      </c>
      <c r="AL3" s="12">
        <f>AA3+1.79*(AA3-O3)</f>
        <v>4.1247499999999997</v>
      </c>
      <c r="AM3" s="12">
        <v>246.6062</v>
      </c>
      <c r="AN3" s="12">
        <v>4.3099999999999996</v>
      </c>
      <c r="AO3" s="12">
        <v>355.7278</v>
      </c>
      <c r="AP3" s="20">
        <v>4.5090000000000003</v>
      </c>
      <c r="AQ3" s="19">
        <v>512.80399999999997</v>
      </c>
      <c r="AR3" s="19"/>
      <c r="AS3" s="19"/>
      <c r="AT3" s="10" t="s">
        <v>12</v>
      </c>
    </row>
    <row r="4" spans="1:46" x14ac:dyDescent="0.3">
      <c r="A4" s="1">
        <v>100</v>
      </c>
      <c r="B4" s="1">
        <v>10</v>
      </c>
      <c r="C4" s="2">
        <v>10</v>
      </c>
      <c r="D4" s="2">
        <v>248.27719999999999</v>
      </c>
      <c r="E4" s="2">
        <v>10.75</v>
      </c>
      <c r="F4" s="2">
        <v>376.40980000000002</v>
      </c>
      <c r="G4" s="2">
        <v>11.25</v>
      </c>
      <c r="H4" s="2">
        <v>505.50599999999997</v>
      </c>
      <c r="I4">
        <v>3.4039999999999999</v>
      </c>
      <c r="J4" s="13" t="s">
        <v>13</v>
      </c>
      <c r="K4" s="14" t="s">
        <v>14</v>
      </c>
      <c r="L4" s="24">
        <v>0.05</v>
      </c>
      <c r="M4" s="11">
        <v>100</v>
      </c>
      <c r="N4" s="11">
        <v>10</v>
      </c>
      <c r="O4" s="12">
        <v>2.63</v>
      </c>
      <c r="P4" s="12">
        <v>256.46890000000002</v>
      </c>
      <c r="Q4" s="12">
        <f>Q3*(O4/O3)</f>
        <v>2.6992105263157891</v>
      </c>
      <c r="R4" s="12">
        <v>380.4873</v>
      </c>
      <c r="S4" s="12">
        <v>2.7450000000000001</v>
      </c>
      <c r="T4" s="27">
        <v>520.57680000000005</v>
      </c>
      <c r="V4" s="13" t="s">
        <v>13</v>
      </c>
      <c r="W4" s="14" t="s">
        <v>14</v>
      </c>
      <c r="X4" s="24">
        <v>0.1</v>
      </c>
      <c r="Y4" s="11">
        <v>100</v>
      </c>
      <c r="Z4" s="11">
        <v>10</v>
      </c>
      <c r="AA4" s="12">
        <v>3.125</v>
      </c>
      <c r="AB4" s="12">
        <v>263.69240000000002</v>
      </c>
      <c r="AC4" s="12">
        <v>3.2</v>
      </c>
      <c r="AD4" s="12">
        <v>356.6816</v>
      </c>
      <c r="AE4" s="12">
        <v>3.28</v>
      </c>
      <c r="AF4" s="27">
        <v>492.1857</v>
      </c>
      <c r="AG4" s="13" t="s">
        <v>13</v>
      </c>
      <c r="AH4" s="14" t="s">
        <v>14</v>
      </c>
      <c r="AI4" s="24">
        <v>0.2</v>
      </c>
      <c r="AJ4" s="11">
        <v>100</v>
      </c>
      <c r="AK4" s="11">
        <v>10</v>
      </c>
      <c r="AL4" s="12">
        <v>3.97</v>
      </c>
      <c r="AM4" s="12">
        <v>266.2079</v>
      </c>
      <c r="AN4" s="12">
        <v>4.0960000000000001</v>
      </c>
      <c r="AO4" s="12">
        <v>361.57920000000001</v>
      </c>
      <c r="AP4" s="12">
        <f t="shared" ref="AN4:AP13" si="0">AE4+1.79*(AE4-S4)</f>
        <v>4.2376499999999995</v>
      </c>
      <c r="AQ4" s="27">
        <v>496.06310000000002</v>
      </c>
      <c r="AS4" s="13" t="s">
        <v>13</v>
      </c>
      <c r="AT4" s="14" t="s">
        <v>14</v>
      </c>
    </row>
    <row r="5" spans="1:46" x14ac:dyDescent="0.3">
      <c r="A5" s="1">
        <v>100</v>
      </c>
      <c r="B5" s="1">
        <v>15</v>
      </c>
      <c r="C5" s="2">
        <v>9.75</v>
      </c>
      <c r="D5" s="2">
        <v>246.75299999999999</v>
      </c>
      <c r="E5" s="2">
        <v>10.45</v>
      </c>
      <c r="F5" s="2">
        <v>372.49169999999998</v>
      </c>
      <c r="G5" s="2">
        <v>10.95</v>
      </c>
      <c r="H5" s="2">
        <v>505.98169999999999</v>
      </c>
      <c r="I5">
        <v>4.5090000000000003</v>
      </c>
      <c r="J5" s="13" t="s">
        <v>15</v>
      </c>
      <c r="K5" s="14" t="s">
        <v>16</v>
      </c>
      <c r="L5" s="24">
        <v>0.05</v>
      </c>
      <c r="M5" s="11">
        <v>100</v>
      </c>
      <c r="N5" s="11">
        <v>15</v>
      </c>
      <c r="O5" s="12">
        <v>2.62</v>
      </c>
      <c r="P5" s="12">
        <v>255.64920000000001</v>
      </c>
      <c r="Q5" s="12">
        <v>2.67</v>
      </c>
      <c r="R5" s="12">
        <v>376.83139999999997</v>
      </c>
      <c r="S5" s="12">
        <v>2.72</v>
      </c>
      <c r="T5" s="27">
        <v>502.96109999999999</v>
      </c>
      <c r="V5" s="13" t="s">
        <v>15</v>
      </c>
      <c r="W5" s="14" t="s">
        <v>16</v>
      </c>
      <c r="X5" s="24">
        <v>0.1</v>
      </c>
      <c r="Y5" s="11">
        <v>100</v>
      </c>
      <c r="Z5" s="11">
        <v>15</v>
      </c>
      <c r="AA5" s="12">
        <v>3.09</v>
      </c>
      <c r="AB5" s="12">
        <v>249.8827</v>
      </c>
      <c r="AC5" s="12">
        <v>3.17</v>
      </c>
      <c r="AD5" s="12">
        <v>369.58100000000002</v>
      </c>
      <c r="AE5" s="12">
        <v>3.24</v>
      </c>
      <c r="AF5" s="27">
        <v>486.40109999999999</v>
      </c>
      <c r="AG5" s="13" t="s">
        <v>15</v>
      </c>
      <c r="AH5" s="14" t="s">
        <v>16</v>
      </c>
      <c r="AI5" s="24">
        <v>0.2</v>
      </c>
      <c r="AJ5" s="11">
        <v>100</v>
      </c>
      <c r="AK5" s="11">
        <v>15</v>
      </c>
      <c r="AL5" s="12">
        <v>3.92</v>
      </c>
      <c r="AM5" s="12">
        <v>262.6207</v>
      </c>
      <c r="AN5" s="12">
        <v>4.05</v>
      </c>
      <c r="AO5" s="12">
        <v>378.28059999999999</v>
      </c>
      <c r="AP5" s="12">
        <f t="shared" si="0"/>
        <v>4.1707999999999998</v>
      </c>
      <c r="AQ5" s="27">
        <v>518.28719999999998</v>
      </c>
      <c r="AS5" s="13" t="s">
        <v>15</v>
      </c>
      <c r="AT5" s="14" t="s">
        <v>16</v>
      </c>
    </row>
    <row r="6" spans="1:46" x14ac:dyDescent="0.3">
      <c r="A6" s="1">
        <v>100</v>
      </c>
      <c r="B6" s="1">
        <v>20</v>
      </c>
      <c r="C6" s="2">
        <v>9.6</v>
      </c>
      <c r="D6" s="2">
        <v>245.79339999999999</v>
      </c>
      <c r="E6" s="2">
        <v>10.25</v>
      </c>
      <c r="F6" s="2">
        <v>378.69650000000001</v>
      </c>
      <c r="G6" s="2">
        <v>10.75</v>
      </c>
      <c r="H6" s="2">
        <v>505.5453</v>
      </c>
      <c r="I6">
        <v>2.85</v>
      </c>
      <c r="J6" s="13" t="s">
        <v>17</v>
      </c>
      <c r="K6" s="14" t="s">
        <v>18</v>
      </c>
      <c r="L6" s="24">
        <v>0.05</v>
      </c>
      <c r="M6" s="11">
        <v>100</v>
      </c>
      <c r="N6" s="11">
        <v>20</v>
      </c>
      <c r="O6" s="12">
        <v>2.6</v>
      </c>
      <c r="P6" s="12">
        <v>257.57679999999999</v>
      </c>
      <c r="Q6" s="12">
        <v>2.65</v>
      </c>
      <c r="R6" s="12">
        <v>371.47570000000002</v>
      </c>
      <c r="S6" s="12">
        <v>2.69</v>
      </c>
      <c r="T6" s="27">
        <v>497.07830000000001</v>
      </c>
      <c r="V6" s="13" t="s">
        <v>17</v>
      </c>
      <c r="W6" s="14" t="s">
        <v>18</v>
      </c>
      <c r="X6" s="24">
        <v>0.1</v>
      </c>
      <c r="Y6" s="11">
        <v>100</v>
      </c>
      <c r="Z6" s="11">
        <v>20</v>
      </c>
      <c r="AA6" s="12">
        <v>3.06</v>
      </c>
      <c r="AB6" s="12">
        <v>252.4374</v>
      </c>
      <c r="AC6" s="12">
        <v>3.14</v>
      </c>
      <c r="AD6" s="12">
        <v>354.31830000000002</v>
      </c>
      <c r="AE6" s="12">
        <v>3.21</v>
      </c>
      <c r="AF6" s="27">
        <v>488.66590000000002</v>
      </c>
      <c r="AG6" s="13" t="s">
        <v>17</v>
      </c>
      <c r="AH6" s="14" t="s">
        <v>18</v>
      </c>
      <c r="AI6" s="24">
        <v>0.2</v>
      </c>
      <c r="AJ6" s="11">
        <v>100</v>
      </c>
      <c r="AK6" s="11">
        <v>20</v>
      </c>
      <c r="AL6" s="12">
        <v>3.835</v>
      </c>
      <c r="AM6" s="12">
        <v>240.0812</v>
      </c>
      <c r="AN6" s="12">
        <v>4</v>
      </c>
      <c r="AO6" s="12">
        <v>371.24979999999999</v>
      </c>
      <c r="AP6" s="12">
        <v>4.12</v>
      </c>
      <c r="AQ6" s="27">
        <v>516.6943</v>
      </c>
      <c r="AS6" s="13" t="s">
        <v>17</v>
      </c>
      <c r="AT6" s="14" t="s">
        <v>18</v>
      </c>
    </row>
    <row r="7" spans="1:46" x14ac:dyDescent="0.3">
      <c r="A7" s="1">
        <v>100</v>
      </c>
      <c r="B7" s="1">
        <v>25</v>
      </c>
      <c r="C7" s="2">
        <v>9.5</v>
      </c>
      <c r="D7" s="2">
        <v>256.80689999999998</v>
      </c>
      <c r="E7" s="2">
        <v>10.050000000000001</v>
      </c>
      <c r="F7" s="2">
        <v>369.66019999999997</v>
      </c>
      <c r="G7" s="2">
        <v>10.55</v>
      </c>
      <c r="H7" s="2">
        <v>509.19479999999999</v>
      </c>
      <c r="I7">
        <v>3.4950000000000001</v>
      </c>
      <c r="J7" s="15" t="s">
        <v>19</v>
      </c>
      <c r="K7" s="16" t="s">
        <v>20</v>
      </c>
      <c r="L7" s="24">
        <v>0.05</v>
      </c>
      <c r="M7" s="11">
        <v>100</v>
      </c>
      <c r="N7" s="11">
        <v>25</v>
      </c>
      <c r="O7" s="12">
        <v>2.58</v>
      </c>
      <c r="P7" s="12">
        <v>260.07560000000001</v>
      </c>
      <c r="Q7" s="12">
        <v>2.62</v>
      </c>
      <c r="R7" s="12">
        <v>365.16919999999999</v>
      </c>
      <c r="S7" s="12">
        <v>2.66</v>
      </c>
      <c r="T7" s="27">
        <v>482.75150000000002</v>
      </c>
      <c r="V7" s="15" t="s">
        <v>19</v>
      </c>
      <c r="W7" s="16" t="s">
        <v>20</v>
      </c>
      <c r="X7" s="24">
        <v>0.1</v>
      </c>
      <c r="Y7" s="11">
        <v>100</v>
      </c>
      <c r="Z7" s="11">
        <v>25</v>
      </c>
      <c r="AA7" s="12">
        <v>3.02</v>
      </c>
      <c r="AB7" s="12">
        <v>251.3869</v>
      </c>
      <c r="AC7" s="12">
        <v>3.11</v>
      </c>
      <c r="AD7" s="12">
        <v>380.88339999999999</v>
      </c>
      <c r="AE7" s="12">
        <v>3.19</v>
      </c>
      <c r="AF7" s="28">
        <v>505.87139999999999</v>
      </c>
      <c r="AG7" s="15" t="s">
        <v>19</v>
      </c>
      <c r="AH7" s="16" t="s">
        <v>20</v>
      </c>
      <c r="AI7" s="24">
        <v>0.2</v>
      </c>
      <c r="AJ7" s="11">
        <v>100</v>
      </c>
      <c r="AK7" s="11">
        <v>25</v>
      </c>
      <c r="AL7" s="12">
        <f t="shared" ref="AL7:AL19" si="1">AA7+1.79*(AA7-O7)</f>
        <v>3.8075999999999999</v>
      </c>
      <c r="AM7" s="12">
        <v>256.47359999999998</v>
      </c>
      <c r="AN7" s="12">
        <v>3.95</v>
      </c>
      <c r="AO7" s="12">
        <v>372.44760000000002</v>
      </c>
      <c r="AP7" s="12">
        <v>4.05</v>
      </c>
      <c r="AQ7" s="27">
        <v>492.04680000000002</v>
      </c>
      <c r="AS7" s="15" t="s">
        <v>19</v>
      </c>
      <c r="AT7" s="16" t="s">
        <v>20</v>
      </c>
    </row>
    <row r="8" spans="1:46" x14ac:dyDescent="0.3">
      <c r="A8" s="1">
        <v>125</v>
      </c>
      <c r="B8" s="1">
        <v>5</v>
      </c>
      <c r="C8" s="2">
        <v>10.7</v>
      </c>
      <c r="D8" s="2">
        <v>255.57320000000001</v>
      </c>
      <c r="E8" s="2">
        <v>11.5</v>
      </c>
      <c r="F8" s="2">
        <v>371.96120000000002</v>
      </c>
      <c r="G8" s="2">
        <v>12.1</v>
      </c>
      <c r="H8" s="2">
        <v>498.42509999999999</v>
      </c>
      <c r="I8">
        <v>4.6920000000000002</v>
      </c>
      <c r="J8" s="9" t="s">
        <v>21</v>
      </c>
      <c r="K8" s="10" t="s">
        <v>22</v>
      </c>
      <c r="L8" s="24">
        <v>0.05</v>
      </c>
      <c r="M8" s="17">
        <v>125</v>
      </c>
      <c r="N8" s="17">
        <v>5</v>
      </c>
      <c r="O8" s="19">
        <v>2.69</v>
      </c>
      <c r="P8" s="19">
        <v>238.93819999999999</v>
      </c>
      <c r="Q8" s="19">
        <v>2.76</v>
      </c>
      <c r="R8" s="19">
        <v>360.50040000000001</v>
      </c>
      <c r="S8" s="19">
        <v>2.82</v>
      </c>
      <c r="T8" s="19">
        <v>497.48349999999999</v>
      </c>
      <c r="V8" s="9" t="s">
        <v>21</v>
      </c>
      <c r="W8" s="10" t="s">
        <v>22</v>
      </c>
      <c r="X8" s="24">
        <v>0.1</v>
      </c>
      <c r="Y8" s="17">
        <v>125</v>
      </c>
      <c r="Z8" s="17">
        <v>5</v>
      </c>
      <c r="AA8" s="19">
        <v>3.25</v>
      </c>
      <c r="AB8" s="19">
        <v>252.6018</v>
      </c>
      <c r="AC8" s="19">
        <v>3.3519999999999999</v>
      </c>
      <c r="AD8" s="19">
        <v>356.80099999999999</v>
      </c>
      <c r="AE8" s="19">
        <v>3.4420000000000002</v>
      </c>
      <c r="AF8" s="19">
        <v>484.77460000000002</v>
      </c>
      <c r="AG8" s="9" t="s">
        <v>21</v>
      </c>
      <c r="AH8" s="10" t="s">
        <v>22</v>
      </c>
      <c r="AI8" s="24">
        <v>0.2</v>
      </c>
      <c r="AJ8" s="17">
        <v>125</v>
      </c>
      <c r="AK8" s="17">
        <v>5</v>
      </c>
      <c r="AL8" s="19">
        <v>4.2380000000000004</v>
      </c>
      <c r="AM8" s="19">
        <v>262.87729999999999</v>
      </c>
      <c r="AN8" s="19">
        <v>4.4349999999999996</v>
      </c>
      <c r="AO8" s="19">
        <v>380.3356</v>
      </c>
      <c r="AP8" s="19">
        <v>4.5999999999999996</v>
      </c>
      <c r="AQ8" s="19">
        <v>504.03570000000002</v>
      </c>
      <c r="AS8" s="9" t="s">
        <v>21</v>
      </c>
      <c r="AT8" s="10" t="s">
        <v>22</v>
      </c>
    </row>
    <row r="9" spans="1:46" x14ac:dyDescent="0.3">
      <c r="A9" s="1">
        <v>125</v>
      </c>
      <c r="B9" s="1">
        <v>10</v>
      </c>
      <c r="C9" s="2">
        <v>10.25</v>
      </c>
      <c r="D9" s="2">
        <v>252.90289999999999</v>
      </c>
      <c r="E9" s="2">
        <v>11</v>
      </c>
      <c r="F9" s="2">
        <v>369.02620000000002</v>
      </c>
      <c r="G9" s="2">
        <v>11.55</v>
      </c>
      <c r="H9" s="2">
        <v>502.7106</v>
      </c>
      <c r="J9" s="13" t="s">
        <v>23</v>
      </c>
      <c r="K9" s="14" t="s">
        <v>24</v>
      </c>
      <c r="L9" s="24">
        <v>0.05</v>
      </c>
      <c r="M9" s="17">
        <v>125</v>
      </c>
      <c r="N9" s="17">
        <v>10</v>
      </c>
      <c r="O9" s="19">
        <v>2.66</v>
      </c>
      <c r="P9" s="19">
        <v>247.67619999999999</v>
      </c>
      <c r="Q9" s="19">
        <v>2.7250000000000001</v>
      </c>
      <c r="R9" s="19">
        <v>366.79430000000002</v>
      </c>
      <c r="S9" s="19">
        <v>2.77</v>
      </c>
      <c r="T9" s="28">
        <v>503.08580000000001</v>
      </c>
      <c r="V9" s="13" t="s">
        <v>23</v>
      </c>
      <c r="W9" s="14" t="s">
        <v>24</v>
      </c>
      <c r="X9" s="24">
        <v>0.1</v>
      </c>
      <c r="Y9" s="17">
        <v>125</v>
      </c>
      <c r="Z9" s="17">
        <v>10</v>
      </c>
      <c r="AA9" s="19">
        <v>3.17</v>
      </c>
      <c r="AB9" s="19">
        <v>259.27539999999999</v>
      </c>
      <c r="AC9" s="19">
        <v>3.26</v>
      </c>
      <c r="AD9" s="19">
        <v>372.7133</v>
      </c>
      <c r="AE9" s="19">
        <v>3.34</v>
      </c>
      <c r="AF9" s="28">
        <v>505.87139999999999</v>
      </c>
      <c r="AG9" s="13" t="s">
        <v>23</v>
      </c>
      <c r="AH9" s="14" t="s">
        <v>24</v>
      </c>
      <c r="AI9" s="24">
        <v>0.2</v>
      </c>
      <c r="AJ9" s="17">
        <v>125</v>
      </c>
      <c r="AK9" s="17">
        <v>10</v>
      </c>
      <c r="AL9" s="19">
        <v>3.9950000000000001</v>
      </c>
      <c r="AM9" s="19">
        <v>241.21860000000001</v>
      </c>
      <c r="AN9" s="19">
        <v>4.2</v>
      </c>
      <c r="AO9" s="19">
        <v>381.07</v>
      </c>
      <c r="AP9" s="19">
        <v>4.32</v>
      </c>
      <c r="AQ9" s="28">
        <v>480.92110000000002</v>
      </c>
      <c r="AS9" s="13" t="s">
        <v>23</v>
      </c>
      <c r="AT9" s="14" t="s">
        <v>24</v>
      </c>
    </row>
    <row r="10" spans="1:46" x14ac:dyDescent="0.3">
      <c r="A10" s="1">
        <v>125</v>
      </c>
      <c r="B10" s="1">
        <v>15</v>
      </c>
      <c r="C10" s="2">
        <v>10.050000000000001</v>
      </c>
      <c r="D10" s="2">
        <v>250.7072</v>
      </c>
      <c r="E10" s="2">
        <v>10.75</v>
      </c>
      <c r="F10" s="2">
        <v>371.40649999999999</v>
      </c>
      <c r="G10" s="2">
        <v>11.25</v>
      </c>
      <c r="H10" s="2">
        <v>490.82619999999997</v>
      </c>
      <c r="J10" s="13" t="s">
        <v>27</v>
      </c>
      <c r="K10" s="14" t="s">
        <v>28</v>
      </c>
      <c r="L10" s="24">
        <v>0.05</v>
      </c>
      <c r="M10" s="17">
        <v>125</v>
      </c>
      <c r="N10" s="17">
        <v>15</v>
      </c>
      <c r="O10" s="19">
        <v>2.65</v>
      </c>
      <c r="P10" s="19">
        <v>249.5634</v>
      </c>
      <c r="Q10" s="19">
        <v>2.7149999999999999</v>
      </c>
      <c r="R10" s="19">
        <v>384.19209999999998</v>
      </c>
      <c r="S10" s="19">
        <v>2.75</v>
      </c>
      <c r="T10" s="28">
        <v>493.476</v>
      </c>
      <c r="V10" s="13" t="s">
        <v>27</v>
      </c>
      <c r="W10" s="14" t="s">
        <v>28</v>
      </c>
      <c r="X10" s="24">
        <v>0.1</v>
      </c>
      <c r="Y10" s="17">
        <v>125</v>
      </c>
      <c r="Z10" s="17">
        <v>15</v>
      </c>
      <c r="AA10" s="19">
        <v>3.14</v>
      </c>
      <c r="AB10" s="19">
        <v>260.75229999999999</v>
      </c>
      <c r="AC10" s="19">
        <v>3.23</v>
      </c>
      <c r="AD10" s="19">
        <v>369.27269999999999</v>
      </c>
      <c r="AE10" s="19">
        <v>3.29</v>
      </c>
      <c r="AF10" s="28">
        <v>477.41449999999998</v>
      </c>
      <c r="AG10" s="13" t="s">
        <v>27</v>
      </c>
      <c r="AH10" s="14" t="s">
        <v>28</v>
      </c>
      <c r="AI10" s="24">
        <v>0.2</v>
      </c>
      <c r="AJ10" s="17">
        <v>125</v>
      </c>
      <c r="AK10" s="17">
        <v>15</v>
      </c>
      <c r="AL10" s="19">
        <v>4</v>
      </c>
      <c r="AM10" s="19">
        <v>264.73489999999998</v>
      </c>
      <c r="AN10" s="19">
        <f t="shared" ref="AN10" si="2">AN5+(AC10-AC5)</f>
        <v>4.1099999999999994</v>
      </c>
      <c r="AO10" s="19">
        <v>366.38959999999997</v>
      </c>
      <c r="AP10" s="19">
        <v>4.2569999999999997</v>
      </c>
      <c r="AQ10" s="28">
        <v>507.64089999999999</v>
      </c>
      <c r="AS10" s="13" t="s">
        <v>25</v>
      </c>
      <c r="AT10" s="14" t="s">
        <v>26</v>
      </c>
    </row>
    <row r="11" spans="1:46" x14ac:dyDescent="0.3">
      <c r="A11" s="1">
        <v>125</v>
      </c>
      <c r="B11" s="1">
        <v>20</v>
      </c>
      <c r="C11" s="2">
        <v>9.85</v>
      </c>
      <c r="D11" s="2">
        <v>246.35290000000001</v>
      </c>
      <c r="E11" s="2">
        <v>10.55</v>
      </c>
      <c r="H11" s="2">
        <v>500.26740000000001</v>
      </c>
      <c r="J11" s="13" t="s">
        <v>25</v>
      </c>
      <c r="K11" s="14" t="s">
        <v>26</v>
      </c>
      <c r="L11" s="24">
        <v>0.05</v>
      </c>
      <c r="M11" s="17">
        <v>125</v>
      </c>
      <c r="N11" s="17">
        <v>20</v>
      </c>
      <c r="O11" s="19">
        <v>2.63</v>
      </c>
      <c r="P11" s="19">
        <v>248.4144</v>
      </c>
      <c r="Q11" s="19">
        <v>2.68</v>
      </c>
      <c r="R11" s="19">
        <v>362.4751</v>
      </c>
      <c r="S11" s="19">
        <v>2.73</v>
      </c>
      <c r="T11" s="28">
        <v>497.24470000000002</v>
      </c>
      <c r="V11" s="13" t="s">
        <v>25</v>
      </c>
      <c r="W11" s="14" t="s">
        <v>26</v>
      </c>
      <c r="X11" s="24">
        <v>0.1</v>
      </c>
      <c r="Y11" s="17">
        <v>125</v>
      </c>
      <c r="Z11" s="17">
        <v>20</v>
      </c>
      <c r="AA11" s="19">
        <v>3.12</v>
      </c>
      <c r="AB11" s="19">
        <v>262.5849</v>
      </c>
      <c r="AC11" s="19">
        <v>3.2</v>
      </c>
      <c r="AD11" s="19">
        <v>367.87240000000003</v>
      </c>
      <c r="AE11" s="19">
        <v>3.28</v>
      </c>
      <c r="AF11" s="28">
        <v>526.49720000000002</v>
      </c>
      <c r="AG11" s="13" t="s">
        <v>25</v>
      </c>
      <c r="AH11" s="14" t="s">
        <v>26</v>
      </c>
      <c r="AI11" s="24">
        <v>0.2</v>
      </c>
      <c r="AJ11" s="17">
        <v>125</v>
      </c>
      <c r="AK11" s="17">
        <v>20</v>
      </c>
      <c r="AL11" s="19">
        <v>3.9119999999999999</v>
      </c>
      <c r="AM11" s="19">
        <v>236.3879</v>
      </c>
      <c r="AN11" s="19">
        <v>4.08</v>
      </c>
      <c r="AO11" s="19">
        <v>375.3852</v>
      </c>
      <c r="AP11" s="19">
        <v>4.22</v>
      </c>
      <c r="AQ11" s="28">
        <v>528.6816</v>
      </c>
      <c r="AS11" s="13" t="s">
        <v>27</v>
      </c>
      <c r="AT11" s="14" t="s">
        <v>28</v>
      </c>
    </row>
    <row r="12" spans="1:46" x14ac:dyDescent="0.3">
      <c r="A12" s="1">
        <v>125</v>
      </c>
      <c r="B12" s="1">
        <v>25</v>
      </c>
      <c r="C12" s="2">
        <v>9.75</v>
      </c>
      <c r="D12" s="2">
        <v>250.8844</v>
      </c>
      <c r="E12" s="2">
        <v>10.35</v>
      </c>
      <c r="F12" s="2">
        <v>366.31700000000001</v>
      </c>
      <c r="G12" s="2">
        <v>10.85</v>
      </c>
      <c r="H12" s="2">
        <v>502.49889999999999</v>
      </c>
      <c r="J12" s="15" t="s">
        <v>32</v>
      </c>
      <c r="K12" s="16" t="s">
        <v>33</v>
      </c>
      <c r="L12" s="24">
        <v>0.05</v>
      </c>
      <c r="M12" s="17">
        <v>125</v>
      </c>
      <c r="N12" s="17">
        <v>25</v>
      </c>
      <c r="O12" s="19">
        <v>2.61</v>
      </c>
      <c r="P12" s="19">
        <v>251.4101</v>
      </c>
      <c r="Q12" s="19">
        <v>2.67</v>
      </c>
      <c r="R12" s="19">
        <v>383.80919999999998</v>
      </c>
      <c r="S12" s="19">
        <v>2.71</v>
      </c>
      <c r="T12" s="28">
        <v>516.48990000000003</v>
      </c>
      <c r="V12" s="15" t="s">
        <v>32</v>
      </c>
      <c r="W12" s="16" t="s">
        <v>33</v>
      </c>
      <c r="X12" s="24">
        <v>0.1</v>
      </c>
      <c r="Y12" s="17">
        <v>125</v>
      </c>
      <c r="Z12" s="17">
        <v>25</v>
      </c>
      <c r="AA12" s="19">
        <v>3.09</v>
      </c>
      <c r="AB12" s="19">
        <v>254.1798</v>
      </c>
      <c r="AC12" s="19">
        <v>3.1749999999999998</v>
      </c>
      <c r="AD12" s="19">
        <v>385.983</v>
      </c>
      <c r="AE12" s="19">
        <v>3.25</v>
      </c>
      <c r="AF12" s="28">
        <v>514.8424</v>
      </c>
      <c r="AG12" s="15" t="s">
        <v>32</v>
      </c>
      <c r="AH12" s="16" t="s">
        <v>33</v>
      </c>
      <c r="AI12" s="24">
        <v>0.2</v>
      </c>
      <c r="AJ12" s="17">
        <v>125</v>
      </c>
      <c r="AK12" s="17">
        <v>25</v>
      </c>
      <c r="AL12" s="19">
        <v>3.875</v>
      </c>
      <c r="AM12" s="19">
        <v>238.08539999999999</v>
      </c>
      <c r="AN12" s="19">
        <v>4.0250000000000004</v>
      </c>
      <c r="AO12" s="19">
        <v>354.80919999999998</v>
      </c>
      <c r="AP12" s="19">
        <v>4.1500000000000004</v>
      </c>
      <c r="AQ12" s="28">
        <v>488.85480000000001</v>
      </c>
      <c r="AS12" s="15" t="s">
        <v>29</v>
      </c>
      <c r="AT12" s="16" t="s">
        <v>30</v>
      </c>
    </row>
    <row r="13" spans="1:46" x14ac:dyDescent="0.3">
      <c r="A13" s="1">
        <v>150</v>
      </c>
      <c r="B13" s="1">
        <v>5</v>
      </c>
      <c r="C13" s="2">
        <v>10.85</v>
      </c>
      <c r="D13" s="2">
        <v>253.87880000000001</v>
      </c>
      <c r="E13" s="2">
        <v>11.7</v>
      </c>
      <c r="F13" s="2">
        <v>367.00580000000002</v>
      </c>
      <c r="G13" s="2">
        <v>12.4</v>
      </c>
      <c r="H13" s="2">
        <v>508.04450000000003</v>
      </c>
      <c r="J13" s="9" t="s">
        <v>11</v>
      </c>
      <c r="K13" s="10" t="s">
        <v>12</v>
      </c>
      <c r="L13" s="24">
        <v>0.05</v>
      </c>
      <c r="M13" s="11">
        <v>150</v>
      </c>
      <c r="N13" s="11">
        <v>5</v>
      </c>
      <c r="O13" s="12">
        <f>Q13-(Q8-O8)</f>
        <v>2.7150000000000003</v>
      </c>
      <c r="P13" s="12">
        <v>251.22970000000001</v>
      </c>
      <c r="Q13" s="12">
        <v>2.7850000000000001</v>
      </c>
      <c r="R13" s="12">
        <v>363.51150000000001</v>
      </c>
      <c r="S13" s="12">
        <v>2.85</v>
      </c>
      <c r="T13" s="27">
        <v>516.62260000000003</v>
      </c>
      <c r="V13" s="9" t="s">
        <v>11</v>
      </c>
      <c r="W13" s="10" t="s">
        <v>12</v>
      </c>
      <c r="X13" s="24">
        <v>0.1</v>
      </c>
      <c r="Y13" s="11">
        <v>150</v>
      </c>
      <c r="Z13" s="11">
        <v>5</v>
      </c>
      <c r="AA13" s="12">
        <v>3.26</v>
      </c>
      <c r="AB13" s="12">
        <v>238.48570000000001</v>
      </c>
      <c r="AC13" s="12">
        <v>3.39</v>
      </c>
      <c r="AD13" s="12">
        <v>367.15499999999997</v>
      </c>
      <c r="AE13">
        <v>3.4950000000000001</v>
      </c>
      <c r="AF13" s="27">
        <v>503.38529999999997</v>
      </c>
      <c r="AG13" s="9" t="s">
        <v>11</v>
      </c>
      <c r="AH13" s="10" t="s">
        <v>12</v>
      </c>
      <c r="AI13" s="24">
        <v>0.2</v>
      </c>
      <c r="AJ13" s="11">
        <v>150</v>
      </c>
      <c r="AK13" s="11">
        <v>5</v>
      </c>
      <c r="AL13" s="12">
        <v>4.2450000000000001</v>
      </c>
      <c r="AM13" s="12">
        <v>238.21199999999999</v>
      </c>
      <c r="AN13" s="12">
        <f t="shared" si="0"/>
        <v>4.47295</v>
      </c>
      <c r="AO13" s="12">
        <v>364.32080000000002</v>
      </c>
      <c r="AP13">
        <v>4.6920000000000002</v>
      </c>
      <c r="AQ13" s="27">
        <v>510.00229999999999</v>
      </c>
      <c r="AS13" s="9" t="s">
        <v>21</v>
      </c>
      <c r="AT13" s="10" t="s">
        <v>22</v>
      </c>
    </row>
    <row r="14" spans="1:46" x14ac:dyDescent="0.3">
      <c r="A14" s="1">
        <v>150</v>
      </c>
      <c r="B14" s="1">
        <v>10</v>
      </c>
      <c r="C14" s="2">
        <v>10.4</v>
      </c>
      <c r="D14" s="2">
        <v>249.2807</v>
      </c>
      <c r="E14" s="2">
        <v>11.200000000000001</v>
      </c>
      <c r="F14" s="2">
        <v>371.41370000000001</v>
      </c>
      <c r="G14" s="2">
        <v>11.85</v>
      </c>
      <c r="H14" s="2">
        <v>509.5566</v>
      </c>
      <c r="J14" s="13" t="s">
        <v>13</v>
      </c>
      <c r="K14" s="14" t="s">
        <v>14</v>
      </c>
      <c r="L14" s="24">
        <v>0.05</v>
      </c>
      <c r="M14" s="11">
        <v>150</v>
      </c>
      <c r="N14" s="11">
        <v>10</v>
      </c>
      <c r="O14" s="12">
        <f t="shared" ref="O14:O27" si="3">Q14-(Q9-O9)</f>
        <v>2.68</v>
      </c>
      <c r="P14" s="12">
        <v>245.27930000000001</v>
      </c>
      <c r="Q14" s="12">
        <v>2.7450000000000001</v>
      </c>
      <c r="R14" s="12">
        <v>369.779</v>
      </c>
      <c r="S14" s="12">
        <f>S13-(S8-S9)</f>
        <v>2.8000000000000003</v>
      </c>
      <c r="T14" s="27">
        <v>492.6388</v>
      </c>
      <c r="V14" s="13" t="s">
        <v>13</v>
      </c>
      <c r="W14" s="14" t="s">
        <v>14</v>
      </c>
      <c r="X14" s="24">
        <v>0.1</v>
      </c>
      <c r="Y14" s="11">
        <v>150</v>
      </c>
      <c r="Z14" s="11">
        <v>10</v>
      </c>
      <c r="AA14" s="12">
        <v>3.1949999999999998</v>
      </c>
      <c r="AB14" s="12">
        <v>257.2912</v>
      </c>
      <c r="AC14" s="12">
        <v>3.3</v>
      </c>
      <c r="AD14" s="12">
        <v>375.3374</v>
      </c>
      <c r="AE14" s="12">
        <f>AE13-(AE8-AE9)</f>
        <v>3.3929999999999998</v>
      </c>
      <c r="AF14" s="27">
        <v>521.52409999999998</v>
      </c>
      <c r="AG14" s="13" t="s">
        <v>13</v>
      </c>
      <c r="AH14" s="14" t="s">
        <v>14</v>
      </c>
      <c r="AI14" s="24">
        <v>0.2</v>
      </c>
      <c r="AJ14" s="11">
        <v>150</v>
      </c>
      <c r="AK14" s="11">
        <v>10</v>
      </c>
      <c r="AL14" s="12">
        <v>4.09</v>
      </c>
      <c r="AM14" s="12">
        <v>256.2312</v>
      </c>
      <c r="AN14" s="12">
        <v>4.2729999999999997</v>
      </c>
      <c r="AO14" s="12">
        <v>379.45089999999999</v>
      </c>
      <c r="AP14" s="12">
        <v>4.4000000000000004</v>
      </c>
      <c r="AQ14" s="27">
        <v>497.59910000000002</v>
      </c>
      <c r="AS14" s="13" t="s">
        <v>23</v>
      </c>
      <c r="AT14" s="14" t="s">
        <v>24</v>
      </c>
    </row>
    <row r="15" spans="1:46" x14ac:dyDescent="0.3">
      <c r="A15" s="1">
        <v>150</v>
      </c>
      <c r="B15" s="1">
        <v>15</v>
      </c>
      <c r="C15" s="2">
        <v>10.199999999999999</v>
      </c>
      <c r="D15" s="2">
        <v>248.06479999999999</v>
      </c>
      <c r="E15" s="2">
        <v>10.950000000000001</v>
      </c>
      <c r="F15" s="2">
        <v>368.30880000000002</v>
      </c>
      <c r="G15" s="2">
        <v>11.5</v>
      </c>
      <c r="H15" s="2">
        <v>505.1798</v>
      </c>
      <c r="J15" s="13" t="s">
        <v>15</v>
      </c>
      <c r="K15" s="14" t="s">
        <v>16</v>
      </c>
      <c r="L15" s="24">
        <v>0.05</v>
      </c>
      <c r="M15" s="11">
        <v>150</v>
      </c>
      <c r="N15" s="11">
        <v>15</v>
      </c>
      <c r="O15" s="12">
        <f t="shared" si="3"/>
        <v>2.665</v>
      </c>
      <c r="P15" s="12">
        <v>241.7663</v>
      </c>
      <c r="Q15" s="12">
        <v>2.73</v>
      </c>
      <c r="R15" s="12">
        <v>360.0428</v>
      </c>
      <c r="S15" s="12">
        <f t="shared" ref="S15:S22" si="4">S14-(S9-S10)</f>
        <v>2.7800000000000002</v>
      </c>
      <c r="T15" s="27">
        <v>525.3777</v>
      </c>
      <c r="V15" s="13" t="s">
        <v>15</v>
      </c>
      <c r="W15" s="14" t="s">
        <v>16</v>
      </c>
      <c r="X15" s="24">
        <v>0.1</v>
      </c>
      <c r="Y15" s="11">
        <v>150</v>
      </c>
      <c r="Z15" s="11">
        <v>15</v>
      </c>
      <c r="AA15" s="12">
        <f t="shared" ref="AA15" si="5">AC15-(AC10-AA10)</f>
        <v>3.1750000000000003</v>
      </c>
      <c r="AB15" s="12">
        <v>261.40019999999998</v>
      </c>
      <c r="AC15" s="12">
        <v>3.2650000000000001</v>
      </c>
      <c r="AD15" s="12">
        <v>373.76589999999999</v>
      </c>
      <c r="AE15" s="12">
        <f t="shared" ref="AE15" si="6">AE14-(AE9-AE10)</f>
        <v>3.343</v>
      </c>
      <c r="AF15" s="27">
        <v>503.63569999999999</v>
      </c>
      <c r="AG15" s="13" t="s">
        <v>15</v>
      </c>
      <c r="AH15" s="14" t="s">
        <v>16</v>
      </c>
      <c r="AI15" s="24">
        <v>0.2</v>
      </c>
      <c r="AJ15" s="11">
        <v>150</v>
      </c>
      <c r="AK15" s="11">
        <v>15</v>
      </c>
      <c r="AL15" s="12">
        <v>4</v>
      </c>
      <c r="AM15" s="12">
        <v>237.27199999999999</v>
      </c>
      <c r="AN15" s="12">
        <v>4.18</v>
      </c>
      <c r="AO15" s="12">
        <v>358.89449999999999</v>
      </c>
      <c r="AP15" s="12">
        <v>4.32</v>
      </c>
      <c r="AQ15" s="27">
        <v>514.07550000000003</v>
      </c>
      <c r="AS15" s="13" t="s">
        <v>25</v>
      </c>
      <c r="AT15" s="14" t="s">
        <v>26</v>
      </c>
    </row>
    <row r="16" spans="1:46" x14ac:dyDescent="0.3">
      <c r="A16" s="1">
        <v>150</v>
      </c>
      <c r="B16" s="1">
        <v>20</v>
      </c>
      <c r="C16" s="2">
        <v>10.050000000000001</v>
      </c>
      <c r="D16" s="2">
        <v>245.9033</v>
      </c>
      <c r="E16" s="2">
        <v>10.750000000000002</v>
      </c>
      <c r="F16" s="2">
        <v>364.84</v>
      </c>
      <c r="G16" s="2">
        <v>11.35</v>
      </c>
      <c r="H16" s="2">
        <v>510.44</v>
      </c>
      <c r="J16" s="13" t="s">
        <v>17</v>
      </c>
      <c r="K16" s="14" t="s">
        <v>18</v>
      </c>
      <c r="L16" s="24">
        <v>0.05</v>
      </c>
      <c r="M16" s="11">
        <v>150</v>
      </c>
      <c r="N16" s="11">
        <v>20</v>
      </c>
      <c r="O16" s="12">
        <f t="shared" si="3"/>
        <v>2.66</v>
      </c>
      <c r="P16" s="12">
        <v>259.10090000000002</v>
      </c>
      <c r="Q16" s="12">
        <f t="shared" ref="Q16:Q27" si="7">S16-(S11-Q11)</f>
        <v>2.7100000000000004</v>
      </c>
      <c r="R16" s="12">
        <v>360.47280000000001</v>
      </c>
      <c r="S16" s="12">
        <f t="shared" si="4"/>
        <v>2.7600000000000002</v>
      </c>
      <c r="T16" s="27">
        <v>493.9674</v>
      </c>
      <c r="V16" s="13" t="s">
        <v>17</v>
      </c>
      <c r="W16" s="14" t="s">
        <v>18</v>
      </c>
      <c r="X16" s="24">
        <v>0.1</v>
      </c>
      <c r="Y16" s="11">
        <v>150</v>
      </c>
      <c r="Z16" s="11">
        <v>20</v>
      </c>
      <c r="AA16" s="12">
        <v>3.15</v>
      </c>
      <c r="AB16" s="12">
        <v>254.27680000000001</v>
      </c>
      <c r="AC16" s="12">
        <f t="shared" ref="AC16" si="8">AE16-(AE11-AC11)</f>
        <v>3.2330000000000005</v>
      </c>
      <c r="AD16" s="12">
        <v>367.80239999999998</v>
      </c>
      <c r="AE16" s="12">
        <v>3.3130000000000002</v>
      </c>
      <c r="AF16" s="27">
        <v>521.58680000000004</v>
      </c>
      <c r="AG16" s="13" t="s">
        <v>17</v>
      </c>
      <c r="AH16" s="14" t="s">
        <v>18</v>
      </c>
      <c r="AI16" s="24">
        <v>0.2</v>
      </c>
      <c r="AJ16" s="11">
        <v>150</v>
      </c>
      <c r="AK16" s="11">
        <v>20</v>
      </c>
      <c r="AL16" s="12">
        <v>3.9750000000000001</v>
      </c>
      <c r="AM16" s="12">
        <v>249.4144</v>
      </c>
      <c r="AN16" s="12">
        <v>4.1500000000000004</v>
      </c>
      <c r="AO16" s="12">
        <v>370.75830000000002</v>
      </c>
      <c r="AP16" s="12">
        <v>4.25</v>
      </c>
      <c r="AQ16" s="27">
        <v>481.07709999999997</v>
      </c>
      <c r="AS16" s="13" t="s">
        <v>27</v>
      </c>
      <c r="AT16" s="14" t="s">
        <v>28</v>
      </c>
    </row>
    <row r="17" spans="1:46" x14ac:dyDescent="0.3">
      <c r="A17" s="1">
        <v>150</v>
      </c>
      <c r="B17" s="1">
        <v>25</v>
      </c>
      <c r="C17" s="2">
        <v>9.9499999999999993</v>
      </c>
      <c r="D17" s="2">
        <v>251.96899999999999</v>
      </c>
      <c r="E17" s="2">
        <v>10.6</v>
      </c>
      <c r="F17" s="2">
        <v>376.1669</v>
      </c>
      <c r="G17" s="2">
        <v>11.15</v>
      </c>
      <c r="H17" s="2">
        <v>508.01620000000003</v>
      </c>
      <c r="J17" s="15" t="s">
        <v>19</v>
      </c>
      <c r="K17" s="16" t="s">
        <v>20</v>
      </c>
      <c r="L17" s="24">
        <v>0.05</v>
      </c>
      <c r="M17" s="11">
        <v>150</v>
      </c>
      <c r="N17" s="11">
        <v>25</v>
      </c>
      <c r="O17" s="12">
        <f t="shared" si="3"/>
        <v>2.64</v>
      </c>
      <c r="P17" s="12">
        <v>259.70670000000001</v>
      </c>
      <c r="Q17" s="12">
        <v>2.7</v>
      </c>
      <c r="R17" s="12">
        <v>371.24169999999998</v>
      </c>
      <c r="S17" s="12">
        <f t="shared" si="4"/>
        <v>2.74</v>
      </c>
      <c r="T17" s="27">
        <v>502.00470000000001</v>
      </c>
      <c r="V17" s="15" t="s">
        <v>19</v>
      </c>
      <c r="W17" s="16" t="s">
        <v>20</v>
      </c>
      <c r="X17" s="24">
        <v>0.1</v>
      </c>
      <c r="Y17" s="11">
        <v>150</v>
      </c>
      <c r="Z17" s="11">
        <v>25</v>
      </c>
      <c r="AA17" s="12">
        <v>3.12</v>
      </c>
      <c r="AB17" s="12">
        <v>249.3579</v>
      </c>
      <c r="AC17" s="12">
        <v>3.22</v>
      </c>
      <c r="AD17" s="12">
        <v>383.64760000000001</v>
      </c>
      <c r="AE17" s="12">
        <v>3.2949999999999999</v>
      </c>
      <c r="AF17" s="27">
        <v>519.50699999999995</v>
      </c>
      <c r="AG17" s="15" t="s">
        <v>19</v>
      </c>
      <c r="AH17" s="16" t="s">
        <v>20</v>
      </c>
      <c r="AI17" s="24">
        <v>0.2</v>
      </c>
      <c r="AJ17" s="11">
        <v>150</v>
      </c>
      <c r="AK17" s="11">
        <v>25</v>
      </c>
      <c r="AL17" s="12">
        <v>3.95</v>
      </c>
      <c r="AM17" s="12">
        <v>242.40289999999999</v>
      </c>
      <c r="AN17" s="12">
        <v>4.0999999999999996</v>
      </c>
      <c r="AO17" s="12">
        <v>368.41890000000001</v>
      </c>
      <c r="AP17" s="12">
        <v>4.22</v>
      </c>
      <c r="AQ17" s="27">
        <v>489.68720000000002</v>
      </c>
      <c r="AS17" s="15" t="s">
        <v>29</v>
      </c>
      <c r="AT17" s="16" t="s">
        <v>30</v>
      </c>
    </row>
    <row r="18" spans="1:46" x14ac:dyDescent="0.3">
      <c r="A18" s="1">
        <v>175</v>
      </c>
      <c r="B18" s="1">
        <v>5</v>
      </c>
      <c r="C18" s="2">
        <v>11</v>
      </c>
      <c r="D18" s="2">
        <v>258.27940000000001</v>
      </c>
      <c r="E18" s="2">
        <v>11.849999999999998</v>
      </c>
      <c r="F18" s="2">
        <v>362.4744</v>
      </c>
      <c r="G18" s="2">
        <v>12.55</v>
      </c>
      <c r="H18" s="2">
        <v>502.57580000000002</v>
      </c>
      <c r="J18" s="9" t="s">
        <v>21</v>
      </c>
      <c r="K18" s="10" t="s">
        <v>22</v>
      </c>
      <c r="L18" s="24">
        <v>0.05</v>
      </c>
      <c r="M18" s="17">
        <v>175</v>
      </c>
      <c r="N18" s="17">
        <v>5</v>
      </c>
      <c r="O18" s="19">
        <f>Q18-(Q13-O13)</f>
        <v>2.7350000000000003</v>
      </c>
      <c r="P18" s="19">
        <v>253.9803</v>
      </c>
      <c r="Q18" s="19">
        <f t="shared" si="7"/>
        <v>2.8050000000000002</v>
      </c>
      <c r="R18" s="19">
        <v>363.44080000000002</v>
      </c>
      <c r="S18" s="19">
        <v>2.87</v>
      </c>
      <c r="T18" s="28">
        <v>520.36410000000001</v>
      </c>
      <c r="V18" s="9" t="s">
        <v>21</v>
      </c>
      <c r="W18" s="10" t="s">
        <v>22</v>
      </c>
      <c r="X18" s="24">
        <v>0.1</v>
      </c>
      <c r="Y18" s="17">
        <v>175</v>
      </c>
      <c r="Z18" s="17">
        <v>5</v>
      </c>
      <c r="AA18" s="19">
        <v>3.3180000000000001</v>
      </c>
      <c r="AB18" s="19">
        <v>260.21249999999998</v>
      </c>
      <c r="AC18" s="19">
        <f>AE18-(AE8-AC8)</f>
        <v>3.4299999999999997</v>
      </c>
      <c r="AD18" s="19">
        <v>378.38630000000001</v>
      </c>
      <c r="AE18" s="19">
        <v>3.52</v>
      </c>
      <c r="AF18" s="28">
        <v>496.52690000000001</v>
      </c>
      <c r="AG18" s="9" t="s">
        <v>21</v>
      </c>
      <c r="AH18" s="10" t="s">
        <v>22</v>
      </c>
      <c r="AI18" s="24">
        <v>0.2</v>
      </c>
      <c r="AJ18" s="17">
        <v>175</v>
      </c>
      <c r="AK18" s="17">
        <v>5</v>
      </c>
      <c r="AL18" s="19">
        <v>4.3520000000000003</v>
      </c>
      <c r="AM18" s="19">
        <v>261.50380000000001</v>
      </c>
      <c r="AN18" s="19">
        <f>AC18+1.79*(AC18-Q18)</f>
        <v>4.5487499999999992</v>
      </c>
      <c r="AO18" s="19">
        <v>370.69529999999997</v>
      </c>
      <c r="AP18" s="19">
        <v>4.74</v>
      </c>
      <c r="AQ18" s="28">
        <v>509.90440000000001</v>
      </c>
      <c r="AS18" s="9" t="s">
        <v>21</v>
      </c>
      <c r="AT18" s="10" t="s">
        <v>22</v>
      </c>
    </row>
    <row r="19" spans="1:46" x14ac:dyDescent="0.3">
      <c r="A19" s="1">
        <v>175</v>
      </c>
      <c r="B19" s="1">
        <v>10</v>
      </c>
      <c r="C19" s="2">
        <v>10.55</v>
      </c>
      <c r="D19" s="2">
        <v>252.71799999999999</v>
      </c>
      <c r="E19" s="2">
        <v>11.350000000000001</v>
      </c>
      <c r="F19" s="2">
        <v>368.35469999999998</v>
      </c>
      <c r="G19" s="2">
        <v>11.999999999999998</v>
      </c>
      <c r="H19" s="2">
        <v>514.36220000000003</v>
      </c>
      <c r="J19" s="13" t="s">
        <v>23</v>
      </c>
      <c r="K19" s="14" t="s">
        <v>24</v>
      </c>
      <c r="L19" s="24">
        <v>0.05</v>
      </c>
      <c r="M19" s="17">
        <v>175</v>
      </c>
      <c r="N19" s="17">
        <v>10</v>
      </c>
      <c r="O19" s="19">
        <f t="shared" si="3"/>
        <v>2.6999999999999997</v>
      </c>
      <c r="P19" s="19">
        <v>259.3664</v>
      </c>
      <c r="Q19" s="19">
        <f t="shared" si="7"/>
        <v>2.7649999999999997</v>
      </c>
      <c r="R19" s="19">
        <v>371.48680000000002</v>
      </c>
      <c r="S19" s="19">
        <v>2.82</v>
      </c>
      <c r="T19" s="28">
        <v>493.9513</v>
      </c>
      <c r="V19" s="13" t="s">
        <v>23</v>
      </c>
      <c r="W19" s="14" t="s">
        <v>24</v>
      </c>
      <c r="X19" s="24">
        <v>0.1</v>
      </c>
      <c r="Y19" s="17">
        <v>175</v>
      </c>
      <c r="Z19" s="17">
        <v>10</v>
      </c>
      <c r="AA19" s="19">
        <v>3.2130000000000001</v>
      </c>
      <c r="AB19" s="19">
        <v>250.0025</v>
      </c>
      <c r="AC19" s="19">
        <f t="shared" ref="AC19:AC22" si="9">AE19-(AE9-AC9)</f>
        <v>3.3329999999999997</v>
      </c>
      <c r="AD19" s="19">
        <v>373.03019999999998</v>
      </c>
      <c r="AE19" s="19">
        <v>3.4129999999999998</v>
      </c>
      <c r="AF19" s="28">
        <v>510.8895</v>
      </c>
      <c r="AG19" s="13" t="s">
        <v>23</v>
      </c>
      <c r="AH19" s="14" t="s">
        <v>24</v>
      </c>
      <c r="AI19" s="24">
        <v>0.2</v>
      </c>
      <c r="AJ19" s="17">
        <v>175</v>
      </c>
      <c r="AK19" s="17">
        <v>10</v>
      </c>
      <c r="AL19" s="19">
        <f t="shared" si="1"/>
        <v>4.1312700000000007</v>
      </c>
      <c r="AM19" s="19">
        <v>256.12860000000001</v>
      </c>
      <c r="AN19" s="19">
        <v>4.3</v>
      </c>
      <c r="AO19" s="19">
        <v>360.73149999999998</v>
      </c>
      <c r="AP19" s="19">
        <f t="shared" ref="AP19" si="10">AP14+(AP9-AP4)</f>
        <v>4.4823500000000012</v>
      </c>
      <c r="AQ19" s="28">
        <v>509.71730000000002</v>
      </c>
      <c r="AS19" s="13" t="s">
        <v>23</v>
      </c>
      <c r="AT19" s="14" t="s">
        <v>24</v>
      </c>
    </row>
    <row r="20" spans="1:46" x14ac:dyDescent="0.3">
      <c r="A20" s="1">
        <v>175</v>
      </c>
      <c r="B20" s="1">
        <v>15</v>
      </c>
      <c r="C20" s="2">
        <v>10.349999999999998</v>
      </c>
      <c r="D20" s="2">
        <v>251.84379999999999</v>
      </c>
      <c r="E20" s="2">
        <v>11.100000000000001</v>
      </c>
      <c r="F20" s="2">
        <v>369.28910000000002</v>
      </c>
      <c r="G20" s="2">
        <v>11.65</v>
      </c>
      <c r="H20" s="2">
        <v>499.4939</v>
      </c>
      <c r="J20" s="13" t="s">
        <v>27</v>
      </c>
      <c r="K20" s="14" t="s">
        <v>28</v>
      </c>
      <c r="L20" s="24">
        <v>0.05</v>
      </c>
      <c r="M20" s="17">
        <v>175</v>
      </c>
      <c r="N20" s="17">
        <v>15</v>
      </c>
      <c r="O20" s="19">
        <f t="shared" si="3"/>
        <v>2.6849999999999996</v>
      </c>
      <c r="P20" s="19">
        <v>252.0966</v>
      </c>
      <c r="Q20" s="19">
        <f t="shared" si="7"/>
        <v>2.7499999999999996</v>
      </c>
      <c r="R20" s="19">
        <v>367.03800000000001</v>
      </c>
      <c r="S20" s="19">
        <f t="shared" si="4"/>
        <v>2.8</v>
      </c>
      <c r="T20" s="28">
        <v>489.4332</v>
      </c>
      <c r="V20" s="13" t="s">
        <v>27</v>
      </c>
      <c r="W20" s="14" t="s">
        <v>28</v>
      </c>
      <c r="X20" s="24">
        <v>0.1</v>
      </c>
      <c r="Y20" s="17">
        <v>175</v>
      </c>
      <c r="Z20" s="17">
        <v>15</v>
      </c>
      <c r="AA20" s="19">
        <v>3.2</v>
      </c>
      <c r="AB20" s="19">
        <v>255.06190000000001</v>
      </c>
      <c r="AC20" s="19">
        <f t="shared" si="9"/>
        <v>3.3029999999999999</v>
      </c>
      <c r="AD20" s="19">
        <v>382.79750000000001</v>
      </c>
      <c r="AE20" s="19">
        <v>3.363</v>
      </c>
      <c r="AF20" s="28">
        <v>491.41969999999998</v>
      </c>
      <c r="AG20" s="13" t="s">
        <v>27</v>
      </c>
      <c r="AH20" s="14" t="s">
        <v>28</v>
      </c>
      <c r="AI20" s="24">
        <v>0.2</v>
      </c>
      <c r="AJ20" s="17">
        <v>175</v>
      </c>
      <c r="AK20" s="17">
        <v>15</v>
      </c>
      <c r="AL20" s="19">
        <v>4.05</v>
      </c>
      <c r="AM20" s="19">
        <v>248.42660000000001</v>
      </c>
      <c r="AN20" s="19">
        <v>4.22</v>
      </c>
      <c r="AO20" s="19">
        <v>364.9024</v>
      </c>
      <c r="AP20" s="19">
        <v>4.34</v>
      </c>
      <c r="AQ20" s="28">
        <v>477.68419999999998</v>
      </c>
      <c r="AS20" s="13" t="s">
        <v>25</v>
      </c>
      <c r="AT20" s="14" t="s">
        <v>26</v>
      </c>
    </row>
    <row r="21" spans="1:46" x14ac:dyDescent="0.3">
      <c r="A21" s="1">
        <v>175</v>
      </c>
      <c r="B21" s="1">
        <v>20</v>
      </c>
      <c r="C21" s="2">
        <v>10.250000000000002</v>
      </c>
      <c r="D21" s="2">
        <v>258.40109999999999</v>
      </c>
      <c r="E21" s="2">
        <v>10.900000000000002</v>
      </c>
      <c r="F21" s="2">
        <v>368.61239999999998</v>
      </c>
      <c r="G21" s="2">
        <v>11.499999999999998</v>
      </c>
      <c r="H21" s="2">
        <v>509.33229999999998</v>
      </c>
      <c r="J21" s="13" t="s">
        <v>25</v>
      </c>
      <c r="K21" s="14" t="s">
        <v>26</v>
      </c>
      <c r="L21" s="24">
        <v>0.05</v>
      </c>
      <c r="M21" s="17">
        <v>175</v>
      </c>
      <c r="N21" s="17">
        <v>20</v>
      </c>
      <c r="O21" s="19">
        <f t="shared" si="3"/>
        <v>2.6799999999999997</v>
      </c>
      <c r="P21" s="19">
        <v>261.94220000000001</v>
      </c>
      <c r="Q21" s="19">
        <f t="shared" si="7"/>
        <v>2.73</v>
      </c>
      <c r="R21" s="19">
        <v>363.36200000000002</v>
      </c>
      <c r="S21" s="19">
        <v>2.78</v>
      </c>
      <c r="T21" s="28">
        <v>490.30410000000001</v>
      </c>
      <c r="V21" s="13" t="s">
        <v>25</v>
      </c>
      <c r="W21" s="14" t="s">
        <v>26</v>
      </c>
      <c r="X21" s="24">
        <v>0.1</v>
      </c>
      <c r="Y21" s="17">
        <v>175</v>
      </c>
      <c r="Z21" s="17">
        <v>20</v>
      </c>
      <c r="AA21" s="19">
        <v>3.18</v>
      </c>
      <c r="AB21" s="19">
        <v>259.74009999999998</v>
      </c>
      <c r="AC21" s="19">
        <f t="shared" si="9"/>
        <v>3.2630000000000003</v>
      </c>
      <c r="AD21" s="19">
        <v>365.3972</v>
      </c>
      <c r="AE21" s="19">
        <f t="shared" ref="AE21" si="11">AE16+(AE11-AE12)</f>
        <v>3.343</v>
      </c>
      <c r="AF21" s="28">
        <v>497.4402</v>
      </c>
      <c r="AG21" s="13" t="s">
        <v>25</v>
      </c>
      <c r="AH21" s="14" t="s">
        <v>26</v>
      </c>
      <c r="AI21" s="24">
        <v>0.2</v>
      </c>
      <c r="AJ21" s="17">
        <v>175</v>
      </c>
      <c r="AK21" s="17">
        <v>20</v>
      </c>
      <c r="AL21" s="19">
        <v>4.0010000000000003</v>
      </c>
      <c r="AM21" s="19">
        <v>232.7492</v>
      </c>
      <c r="AN21" s="19">
        <v>4.2</v>
      </c>
      <c r="AO21" s="19">
        <v>381.20760000000001</v>
      </c>
      <c r="AP21" s="19">
        <v>4.32</v>
      </c>
      <c r="AQ21" s="28">
        <v>508.66899999999998</v>
      </c>
      <c r="AS21" s="13" t="s">
        <v>27</v>
      </c>
      <c r="AT21" s="14" t="s">
        <v>28</v>
      </c>
    </row>
    <row r="22" spans="1:46" x14ac:dyDescent="0.3">
      <c r="A22" s="1">
        <v>175</v>
      </c>
      <c r="B22" s="1">
        <v>25</v>
      </c>
      <c r="C22" s="2">
        <v>10.149999999999999</v>
      </c>
      <c r="D22" s="2">
        <v>260.10489999999999</v>
      </c>
      <c r="E22" s="2">
        <v>10.799999999999999</v>
      </c>
      <c r="F22" s="2">
        <v>371.0147</v>
      </c>
      <c r="G22" s="2">
        <v>11.3</v>
      </c>
      <c r="H22" s="2">
        <v>498.25580000000002</v>
      </c>
      <c r="J22" s="15" t="s">
        <v>32</v>
      </c>
      <c r="K22" s="16" t="s">
        <v>33</v>
      </c>
      <c r="L22" s="24">
        <v>0.05</v>
      </c>
      <c r="M22" s="17">
        <v>175</v>
      </c>
      <c r="N22" s="17">
        <v>25</v>
      </c>
      <c r="O22" s="19">
        <f t="shared" si="3"/>
        <v>2.6599999999999997</v>
      </c>
      <c r="P22" s="19">
        <v>255.12790000000001</v>
      </c>
      <c r="Q22" s="19">
        <f t="shared" si="7"/>
        <v>2.7199999999999998</v>
      </c>
      <c r="R22" s="19">
        <v>369.49689999999998</v>
      </c>
      <c r="S22" s="19">
        <f t="shared" si="4"/>
        <v>2.76</v>
      </c>
      <c r="T22" s="28">
        <v>485.54079999999999</v>
      </c>
      <c r="V22" s="15" t="s">
        <v>32</v>
      </c>
      <c r="W22" s="16" t="s">
        <v>33</v>
      </c>
      <c r="X22" s="24">
        <v>0.1</v>
      </c>
      <c r="Y22" s="17">
        <v>175</v>
      </c>
      <c r="Z22" s="17">
        <v>25</v>
      </c>
      <c r="AA22" s="19">
        <v>3.15</v>
      </c>
      <c r="AB22" s="19">
        <v>252.51079999999999</v>
      </c>
      <c r="AC22" s="19">
        <f t="shared" si="9"/>
        <v>3.2449999999999997</v>
      </c>
      <c r="AD22" s="19">
        <v>366.0093</v>
      </c>
      <c r="AE22" s="19">
        <v>3.32</v>
      </c>
      <c r="AF22" s="28">
        <v>495.72669999999999</v>
      </c>
      <c r="AG22" s="15" t="s">
        <v>32</v>
      </c>
      <c r="AH22" s="16" t="s">
        <v>33</v>
      </c>
      <c r="AI22" s="24">
        <v>0.2</v>
      </c>
      <c r="AJ22" s="17">
        <v>175</v>
      </c>
      <c r="AK22" s="17">
        <v>25</v>
      </c>
      <c r="AL22" s="19">
        <v>4</v>
      </c>
      <c r="AM22" s="19">
        <v>251.5009</v>
      </c>
      <c r="AN22" s="19">
        <v>4.1500000000000004</v>
      </c>
      <c r="AO22" s="19">
        <v>358.52600000000001</v>
      </c>
      <c r="AP22" s="19">
        <v>4.28</v>
      </c>
      <c r="AQ22" s="28">
        <v>491.68</v>
      </c>
      <c r="AS22" s="15" t="s">
        <v>29</v>
      </c>
      <c r="AT22" s="16" t="s">
        <v>30</v>
      </c>
    </row>
    <row r="23" spans="1:46" x14ac:dyDescent="0.3">
      <c r="A23" s="1">
        <v>200</v>
      </c>
      <c r="B23" s="1">
        <v>5</v>
      </c>
      <c r="C23" s="2">
        <v>11.1</v>
      </c>
      <c r="D23" s="2">
        <v>258.4289</v>
      </c>
      <c r="E23" s="2">
        <v>11.95</v>
      </c>
      <c r="F23" s="2">
        <v>372.33159999999998</v>
      </c>
      <c r="G23" s="2">
        <v>12.75</v>
      </c>
      <c r="H23" s="2">
        <v>516.69680000000005</v>
      </c>
      <c r="J23" s="9" t="s">
        <v>11</v>
      </c>
      <c r="K23" s="10" t="s">
        <v>12</v>
      </c>
      <c r="L23" s="24">
        <v>0.05</v>
      </c>
      <c r="M23" s="11">
        <v>200</v>
      </c>
      <c r="N23" s="11">
        <v>5</v>
      </c>
      <c r="O23" s="12">
        <v>2.74</v>
      </c>
      <c r="P23" s="12">
        <v>250.44739999999999</v>
      </c>
      <c r="Q23" s="12">
        <f t="shared" si="7"/>
        <v>2.8250000000000002</v>
      </c>
      <c r="R23" s="12">
        <v>376.95249999999999</v>
      </c>
      <c r="S23" s="12">
        <f>S18+(S18-S13)</f>
        <v>2.89</v>
      </c>
      <c r="T23" s="27">
        <v>517.96299999999997</v>
      </c>
      <c r="V23" s="9" t="s">
        <v>11</v>
      </c>
      <c r="W23" s="10" t="s">
        <v>12</v>
      </c>
      <c r="X23" s="24">
        <v>0.1</v>
      </c>
      <c r="Y23" s="11">
        <v>200</v>
      </c>
      <c r="Z23" s="11">
        <v>5</v>
      </c>
      <c r="AA23" s="12">
        <v>3.3359999999999999</v>
      </c>
      <c r="AB23" s="12">
        <v>259.14370000000002</v>
      </c>
      <c r="AC23" s="12">
        <v>3.45</v>
      </c>
      <c r="AD23" s="12">
        <v>370.02319999999997</v>
      </c>
      <c r="AE23" s="12">
        <f t="shared" ref="AE23:AE26" si="12">AE18+(AE18-AE13)</f>
        <v>3.5449999999999999</v>
      </c>
      <c r="AF23" s="27">
        <v>499.50810000000001</v>
      </c>
      <c r="AG23" s="9" t="s">
        <v>11</v>
      </c>
      <c r="AH23" s="10" t="s">
        <v>12</v>
      </c>
      <c r="AI23" s="24">
        <v>0.2</v>
      </c>
      <c r="AJ23" s="11">
        <v>200</v>
      </c>
      <c r="AK23" s="11">
        <v>5</v>
      </c>
      <c r="AL23" s="12">
        <f t="shared" ref="AL23:AN25" si="13">AL18+(AL13-AL8)</f>
        <v>4.359</v>
      </c>
      <c r="AM23" s="12">
        <v>253.1259</v>
      </c>
      <c r="AN23" s="12">
        <f t="shared" si="13"/>
        <v>4.5866999999999996</v>
      </c>
      <c r="AO23" s="12">
        <v>367.03489999999999</v>
      </c>
      <c r="AP23" s="12">
        <v>4.8</v>
      </c>
      <c r="AQ23" s="27">
        <v>505.7405</v>
      </c>
      <c r="AS23" s="9" t="s">
        <v>11</v>
      </c>
      <c r="AT23" s="10" t="s">
        <v>12</v>
      </c>
    </row>
    <row r="24" spans="1:46" x14ac:dyDescent="0.3">
      <c r="A24" s="1">
        <v>200</v>
      </c>
      <c r="B24" s="1">
        <v>10</v>
      </c>
      <c r="C24" s="2">
        <v>10.65</v>
      </c>
      <c r="D24" s="2">
        <v>251.33349999999999</v>
      </c>
      <c r="E24" s="2">
        <v>11.5</v>
      </c>
      <c r="F24" s="2">
        <v>376.25380000000001</v>
      </c>
      <c r="G24" s="2">
        <v>12.15</v>
      </c>
      <c r="H24" s="2">
        <v>516.10239999999999</v>
      </c>
      <c r="J24" s="13" t="s">
        <v>13</v>
      </c>
      <c r="K24" s="14" t="s">
        <v>14</v>
      </c>
      <c r="L24" s="24">
        <v>0.05</v>
      </c>
      <c r="M24" s="11">
        <v>200</v>
      </c>
      <c r="N24" s="11">
        <v>10</v>
      </c>
      <c r="O24" s="12">
        <f t="shared" si="3"/>
        <v>2.7199999999999993</v>
      </c>
      <c r="P24" s="12">
        <v>261.42590000000001</v>
      </c>
      <c r="Q24" s="12">
        <f t="shared" si="7"/>
        <v>2.7849999999999993</v>
      </c>
      <c r="R24" s="12">
        <v>389.42169999999999</v>
      </c>
      <c r="S24" s="12">
        <f t="shared" ref="S24:S27" si="14">S19+(S19-S14)</f>
        <v>2.8399999999999994</v>
      </c>
      <c r="T24" s="27">
        <v>514.23249999999996</v>
      </c>
      <c r="V24" s="13" t="s">
        <v>13</v>
      </c>
      <c r="W24" s="14" t="s">
        <v>14</v>
      </c>
      <c r="X24" s="24">
        <v>0.1</v>
      </c>
      <c r="Y24" s="11">
        <v>200</v>
      </c>
      <c r="Z24" s="11">
        <v>10</v>
      </c>
      <c r="AA24" s="12">
        <f>AA19+(AA19-AA14)</f>
        <v>3.2310000000000003</v>
      </c>
      <c r="AB24" s="12">
        <v>247.39699999999999</v>
      </c>
      <c r="AC24" s="12">
        <v>3.3460000000000001</v>
      </c>
      <c r="AD24" s="12">
        <v>366.36840000000001</v>
      </c>
      <c r="AE24" s="12">
        <f t="shared" si="12"/>
        <v>3.4329999999999998</v>
      </c>
      <c r="AF24" s="27">
        <v>516.57950000000005</v>
      </c>
      <c r="AG24" s="13" t="s">
        <v>13</v>
      </c>
      <c r="AH24" s="14" t="s">
        <v>14</v>
      </c>
      <c r="AI24" s="24">
        <v>0.2</v>
      </c>
      <c r="AJ24" s="11">
        <v>200</v>
      </c>
      <c r="AK24" s="11">
        <v>10</v>
      </c>
      <c r="AL24" s="12">
        <v>4.2</v>
      </c>
      <c r="AM24" s="12">
        <v>272.75009999999997</v>
      </c>
      <c r="AN24" s="12">
        <f t="shared" si="13"/>
        <v>4.3729999999999993</v>
      </c>
      <c r="AO24" s="12">
        <v>384.95659999999998</v>
      </c>
      <c r="AP24" s="12">
        <v>4.5519999999999996</v>
      </c>
      <c r="AQ24" s="27">
        <v>519.60140000000001</v>
      </c>
      <c r="AS24" s="13" t="s">
        <v>13</v>
      </c>
      <c r="AT24" s="14" t="s">
        <v>14</v>
      </c>
    </row>
    <row r="25" spans="1:46" x14ac:dyDescent="0.3">
      <c r="A25" s="1">
        <v>200</v>
      </c>
      <c r="B25" s="1">
        <v>15</v>
      </c>
      <c r="C25" s="2">
        <v>10.45</v>
      </c>
      <c r="D25" s="2">
        <v>246.94970000000001</v>
      </c>
      <c r="E25" s="2">
        <v>11.200000000000001</v>
      </c>
      <c r="F25" s="2">
        <v>362.49160000000001</v>
      </c>
      <c r="G25" s="2">
        <v>11.75</v>
      </c>
      <c r="H25" s="2">
        <v>490.02530000000002</v>
      </c>
      <c r="J25" s="13" t="s">
        <v>15</v>
      </c>
      <c r="K25" s="14" t="s">
        <v>16</v>
      </c>
      <c r="L25" s="24">
        <v>0.05</v>
      </c>
      <c r="M25" s="11">
        <v>200</v>
      </c>
      <c r="N25" s="11">
        <v>15</v>
      </c>
      <c r="O25" s="12">
        <f t="shared" si="3"/>
        <v>2.7049999999999992</v>
      </c>
      <c r="P25" s="12">
        <v>255.4306</v>
      </c>
      <c r="Q25" s="12">
        <f t="shared" si="7"/>
        <v>2.7699999999999991</v>
      </c>
      <c r="R25" s="12">
        <v>384.4717</v>
      </c>
      <c r="S25" s="12">
        <f t="shared" si="14"/>
        <v>2.8199999999999994</v>
      </c>
      <c r="T25" s="27">
        <v>516.58770000000004</v>
      </c>
      <c r="V25" s="13" t="s">
        <v>15</v>
      </c>
      <c r="W25" s="14" t="s">
        <v>16</v>
      </c>
      <c r="X25" s="24">
        <v>0.1</v>
      </c>
      <c r="Y25" s="11">
        <v>200</v>
      </c>
      <c r="Z25" s="11">
        <v>15</v>
      </c>
      <c r="AA25" s="12">
        <f t="shared" ref="AA25:AA26" si="15">AA20+(AA20-AA15)</f>
        <v>3.2250000000000001</v>
      </c>
      <c r="AB25" s="12">
        <v>256.9649</v>
      </c>
      <c r="AC25" s="12">
        <v>3.3109999999999999</v>
      </c>
      <c r="AD25" s="12">
        <v>352.19630000000001</v>
      </c>
      <c r="AE25" s="12">
        <f t="shared" si="12"/>
        <v>3.383</v>
      </c>
      <c r="AF25" s="27">
        <v>495.22910000000002</v>
      </c>
      <c r="AG25" s="13" t="s">
        <v>15</v>
      </c>
      <c r="AH25" s="14" t="s">
        <v>16</v>
      </c>
      <c r="AI25" s="24">
        <v>0.2</v>
      </c>
      <c r="AJ25" s="11">
        <v>200</v>
      </c>
      <c r="AK25" s="11">
        <v>15</v>
      </c>
      <c r="AL25" s="12">
        <v>4.0650000000000004</v>
      </c>
      <c r="AM25" s="12">
        <v>235.81610000000001</v>
      </c>
      <c r="AN25" s="12">
        <f t="shared" si="13"/>
        <v>4.29</v>
      </c>
      <c r="AO25" s="12">
        <v>371.798</v>
      </c>
      <c r="AP25" s="12">
        <f t="shared" ref="AP25:AP26" si="16">AP20+(AP15-AP10)</f>
        <v>4.4030000000000005</v>
      </c>
      <c r="AQ25" s="27">
        <v>486.16660000000002</v>
      </c>
      <c r="AS25" s="13" t="s">
        <v>15</v>
      </c>
      <c r="AT25" s="14" t="s">
        <v>16</v>
      </c>
    </row>
    <row r="26" spans="1:46" x14ac:dyDescent="0.3">
      <c r="A26" s="1">
        <v>200</v>
      </c>
      <c r="B26" s="1">
        <v>20</v>
      </c>
      <c r="C26" s="2">
        <v>10.3</v>
      </c>
      <c r="D26" s="2">
        <v>243.64150000000001</v>
      </c>
      <c r="E26" s="2">
        <v>11.05</v>
      </c>
      <c r="F26" s="2">
        <v>374.63010000000003</v>
      </c>
      <c r="G26" s="2">
        <v>11.65</v>
      </c>
      <c r="H26" s="2">
        <v>511.48340000000002</v>
      </c>
      <c r="J26" s="13" t="s">
        <v>17</v>
      </c>
      <c r="K26" s="14" t="s">
        <v>18</v>
      </c>
      <c r="L26" s="24">
        <v>0.05</v>
      </c>
      <c r="M26" s="11">
        <v>200</v>
      </c>
      <c r="N26" s="11">
        <v>20</v>
      </c>
      <c r="O26" s="12">
        <v>2.69</v>
      </c>
      <c r="P26" s="12">
        <v>255.8031</v>
      </c>
      <c r="Q26" s="12">
        <f t="shared" si="7"/>
        <v>2.7499999999999996</v>
      </c>
      <c r="R26" s="12">
        <v>358.70960000000002</v>
      </c>
      <c r="S26" s="12">
        <f t="shared" si="14"/>
        <v>2.7999999999999994</v>
      </c>
      <c r="T26" s="27">
        <v>493.5247</v>
      </c>
      <c r="V26" s="13" t="s">
        <v>17</v>
      </c>
      <c r="W26" s="14" t="s">
        <v>18</v>
      </c>
      <c r="X26" s="24">
        <v>0.1</v>
      </c>
      <c r="Y26" s="11">
        <v>200</v>
      </c>
      <c r="Z26" s="11">
        <v>20</v>
      </c>
      <c r="AA26" s="12">
        <f t="shared" si="15"/>
        <v>3.2100000000000004</v>
      </c>
      <c r="AB26" s="12">
        <v>264.72719999999998</v>
      </c>
      <c r="AC26" s="12">
        <f t="shared" ref="AC26:AC27" si="17">AC21+(AC21-AC16)</f>
        <v>3.2930000000000001</v>
      </c>
      <c r="AD26" s="12">
        <v>369.62990000000002</v>
      </c>
      <c r="AE26" s="12">
        <f t="shared" si="12"/>
        <v>3.3729999999999998</v>
      </c>
      <c r="AF26" s="27">
        <v>508.51150000000001</v>
      </c>
      <c r="AG26" s="13" t="s">
        <v>17</v>
      </c>
      <c r="AH26" s="14" t="s">
        <v>18</v>
      </c>
      <c r="AI26" s="24">
        <v>0.2</v>
      </c>
      <c r="AJ26" s="11">
        <v>200</v>
      </c>
      <c r="AK26" s="11">
        <v>20</v>
      </c>
      <c r="AL26" s="12">
        <v>4.05</v>
      </c>
      <c r="AM26" s="12">
        <v>243.9067</v>
      </c>
      <c r="AN26" s="12">
        <v>4.2169999999999996</v>
      </c>
      <c r="AO26" s="12">
        <v>367.56760000000003</v>
      </c>
      <c r="AP26" s="12">
        <f t="shared" si="16"/>
        <v>4.3500000000000005</v>
      </c>
      <c r="AQ26" s="27">
        <v>498.4864</v>
      </c>
      <c r="AS26" s="13" t="s">
        <v>17</v>
      </c>
      <c r="AT26" s="14" t="s">
        <v>18</v>
      </c>
    </row>
    <row r="27" spans="1:46" x14ac:dyDescent="0.3">
      <c r="A27" s="1">
        <v>200</v>
      </c>
      <c r="B27" s="1">
        <v>25</v>
      </c>
      <c r="C27" s="2">
        <v>10.199999999999999</v>
      </c>
      <c r="D27" s="2">
        <v>249.23249999999999</v>
      </c>
      <c r="E27" s="2">
        <v>10.9</v>
      </c>
      <c r="F27" s="2">
        <v>371.11590000000001</v>
      </c>
      <c r="G27" s="2">
        <v>11.5</v>
      </c>
      <c r="H27" s="2">
        <v>512.10239999999999</v>
      </c>
      <c r="J27" s="15" t="s">
        <v>19</v>
      </c>
      <c r="K27" s="16" t="s">
        <v>20</v>
      </c>
      <c r="L27" s="24">
        <v>0.05</v>
      </c>
      <c r="M27" s="11">
        <v>200</v>
      </c>
      <c r="N27" s="11">
        <v>25</v>
      </c>
      <c r="O27" s="12">
        <f t="shared" si="3"/>
        <v>2.6799999999999993</v>
      </c>
      <c r="P27" s="12">
        <v>254.20070000000001</v>
      </c>
      <c r="Q27" s="12">
        <f t="shared" si="7"/>
        <v>2.7399999999999993</v>
      </c>
      <c r="R27" s="12">
        <v>381.39800000000002</v>
      </c>
      <c r="S27" s="12">
        <f t="shared" si="14"/>
        <v>2.7799999999999994</v>
      </c>
      <c r="T27" s="27">
        <v>490.94290000000001</v>
      </c>
      <c r="V27" s="15" t="s">
        <v>19</v>
      </c>
      <c r="W27" s="16" t="s">
        <v>20</v>
      </c>
      <c r="X27" s="24">
        <v>0.1</v>
      </c>
      <c r="Y27" s="11">
        <v>200</v>
      </c>
      <c r="Z27" s="11">
        <v>25</v>
      </c>
      <c r="AA27" s="12">
        <f>AA22+(AA22-AA17)</f>
        <v>3.1799999999999997</v>
      </c>
      <c r="AB27" s="12">
        <v>257.19439999999997</v>
      </c>
      <c r="AC27" s="12">
        <f t="shared" si="17"/>
        <v>3.2699999999999991</v>
      </c>
      <c r="AD27" s="12">
        <v>372.7371</v>
      </c>
      <c r="AE27" s="12">
        <f>AE22+(AE22-AE17)</f>
        <v>3.3449999999999998</v>
      </c>
      <c r="AF27" s="27">
        <v>483.71460000000002</v>
      </c>
      <c r="AG27" s="15" t="s">
        <v>19</v>
      </c>
      <c r="AH27" s="16" t="s">
        <v>20</v>
      </c>
      <c r="AI27" s="24">
        <v>0.2</v>
      </c>
      <c r="AJ27" s="11">
        <v>200</v>
      </c>
      <c r="AK27" s="11">
        <v>25</v>
      </c>
      <c r="AL27" s="12">
        <v>4.03</v>
      </c>
      <c r="AM27" s="12">
        <v>247.69399999999999</v>
      </c>
      <c r="AN27" s="12">
        <v>4.18</v>
      </c>
      <c r="AO27" s="12">
        <v>366.94279999999998</v>
      </c>
      <c r="AP27" s="12">
        <v>4.3150000000000004</v>
      </c>
      <c r="AQ27" s="27">
        <v>483.46210000000002</v>
      </c>
      <c r="AS27" s="15" t="s">
        <v>19</v>
      </c>
      <c r="AT27" s="16" t="s">
        <v>20</v>
      </c>
    </row>
  </sheetData>
  <mergeCells count="21">
    <mergeCell ref="AA1:AB1"/>
    <mergeCell ref="A1:B1"/>
    <mergeCell ref="C1:D1"/>
    <mergeCell ref="E1:F1"/>
    <mergeCell ref="G1:H1"/>
    <mergeCell ref="J1:J2"/>
    <mergeCell ref="K1:K2"/>
    <mergeCell ref="M1:N1"/>
    <mergeCell ref="O1:P1"/>
    <mergeCell ref="Q1:R1"/>
    <mergeCell ref="S1:T1"/>
    <mergeCell ref="Y1:Z1"/>
    <mergeCell ref="V1:V2"/>
    <mergeCell ref="AS1:AS2"/>
    <mergeCell ref="AT1:AT2"/>
    <mergeCell ref="AC1:AD1"/>
    <mergeCell ref="AE1:AF1"/>
    <mergeCell ref="AJ1:AK1"/>
    <mergeCell ref="AL1:AM1"/>
    <mergeCell ref="AN1:AO1"/>
    <mergeCell ref="AP1:AQ1"/>
  </mergeCells>
  <hyperlinks>
    <hyperlink ref="K3" r:id="rId1" xr:uid="{A42D608D-ABCA-4A3C-9E69-57D4AAAD1411}"/>
    <hyperlink ref="K4" r:id="rId2" xr:uid="{6CBF96AC-07E0-4AFB-9CC1-9E42E1C8650A}"/>
    <hyperlink ref="K5" r:id="rId3" xr:uid="{966BA2D9-2946-490C-B4EB-2553622DEE9E}"/>
    <hyperlink ref="K6" r:id="rId4" xr:uid="{2848D161-D5CF-4C64-9F0A-D077FA9E9FDA}"/>
    <hyperlink ref="K7" r:id="rId5" xr:uid="{3CBD47ED-3100-4126-84BE-F89B80FEE879}"/>
    <hyperlink ref="K23" r:id="rId6" xr:uid="{2BEDF6E7-C10C-4201-A4F1-DAE7357B28A9}"/>
    <hyperlink ref="K24" r:id="rId7" xr:uid="{82D749D1-1B0B-4D2D-A3F6-AA709A0F8928}"/>
    <hyperlink ref="K25" r:id="rId8" xr:uid="{5A278FA5-D0B9-43D4-BECF-8D50325CB4A9}"/>
    <hyperlink ref="K26" r:id="rId9" xr:uid="{BD953F0E-F696-43D7-98F6-BE913EB3A723}"/>
    <hyperlink ref="K27" r:id="rId10" xr:uid="{931EA956-580C-46B4-B2CA-9C0DE9EC483A}"/>
    <hyperlink ref="AT3" r:id="rId11" xr:uid="{A623B320-E269-411B-A33D-5EED934DC625}"/>
    <hyperlink ref="AT4" r:id="rId12" xr:uid="{25FB539F-3F41-4EA4-B01A-3B27DCC58980}"/>
    <hyperlink ref="AT5" r:id="rId13" xr:uid="{786B19E1-90FF-4FC0-9A0A-2C054D5A0505}"/>
    <hyperlink ref="AT6" r:id="rId14" xr:uid="{B9520A04-A48E-4B01-901D-58DFF395848E}"/>
    <hyperlink ref="AT7" r:id="rId15" xr:uid="{55403A4B-B691-4D20-A23F-9E10D5148979}"/>
    <hyperlink ref="AT13" r:id="rId16" xr:uid="{890B1EEA-AB1C-436A-BF47-CAB4306B77F9}"/>
    <hyperlink ref="AT14" r:id="rId17" xr:uid="{8475C762-1F71-472D-A4D3-18029EFF8527}"/>
    <hyperlink ref="AT15" r:id="rId18" xr:uid="{757F966C-C8A8-4AC7-9F23-F646BD159499}"/>
    <hyperlink ref="AT16" r:id="rId19" xr:uid="{08D4D556-DD4F-463A-BDA5-B4798A027B9F}"/>
    <hyperlink ref="AT17" r:id="rId20" xr:uid="{DD2F292F-1899-46C0-AB70-0CE4CE4AC5B1}"/>
    <hyperlink ref="AT23" r:id="rId21" xr:uid="{B8728DEC-05F9-48CD-A3B2-E514B660FEFE}"/>
    <hyperlink ref="AT24" r:id="rId22" xr:uid="{1A7A13BB-D1E0-4B92-B0AB-08C72785F8A2}"/>
    <hyperlink ref="AT25" r:id="rId23" xr:uid="{B53A2003-F972-484F-8512-E20A842AC3A1}"/>
    <hyperlink ref="AT26" r:id="rId24" xr:uid="{1CC63E09-D0F6-4F03-A71A-627DA5F56603}"/>
    <hyperlink ref="AT27" r:id="rId25" xr:uid="{69613BAB-D37C-4A6E-91E0-88EB594CEA54}"/>
    <hyperlink ref="AT18" r:id="rId26" xr:uid="{EB2625FA-DA07-4BD8-A23C-71764C13CBED}"/>
    <hyperlink ref="AT19" r:id="rId27" xr:uid="{DFD0C8A6-638F-450B-AC8E-B21EA8446DD9}"/>
    <hyperlink ref="AT20" r:id="rId28" xr:uid="{148F9737-2FAC-49B9-BCD4-B6E4F7C8838C}"/>
    <hyperlink ref="AT21" r:id="rId29" xr:uid="{FAB9FC6B-500F-47DC-867C-75DE13656063}"/>
    <hyperlink ref="AT22" r:id="rId30" xr:uid="{B0009A8D-AF36-4E23-A928-1CF6B3E73F7A}"/>
    <hyperlink ref="AT8" r:id="rId31" xr:uid="{DD29F6C1-6EEB-4833-B8D0-9527BBDB8F94}"/>
    <hyperlink ref="AT9" r:id="rId32" xr:uid="{D1771278-D507-4041-822B-5AD28676AE94}"/>
    <hyperlink ref="AT10" r:id="rId33" xr:uid="{6C242AE1-18F9-412B-B37C-4BFF790A7D94}"/>
    <hyperlink ref="AT11" r:id="rId34" xr:uid="{6FCD0714-257D-40AB-8BFE-88D3A27ECD07}"/>
    <hyperlink ref="AT12" r:id="rId35" xr:uid="{C40E5229-40DE-471C-B494-297B87496E25}"/>
    <hyperlink ref="K8" r:id="rId36" xr:uid="{18BFC0F6-7AE2-44C9-A613-5AEB23157A9E}"/>
    <hyperlink ref="K9" r:id="rId37" xr:uid="{BF810841-6CEB-4E3B-B809-1EED81B5DC86}"/>
    <hyperlink ref="K11" r:id="rId38" xr:uid="{693FC18C-84AB-49D3-A98F-31A8C2554A25}"/>
    <hyperlink ref="K10" r:id="rId39" xr:uid="{9303C2C2-1486-4569-894C-7CF5A8B1F5F2}"/>
    <hyperlink ref="K12" r:id="rId40" xr:uid="{82EE8648-E0D2-4A44-A50B-07E7801EE1B0}"/>
    <hyperlink ref="K13" r:id="rId41" xr:uid="{3D2DC31F-A5F8-4BC7-BAB8-54D1F91CB18D}"/>
    <hyperlink ref="K14" r:id="rId42" xr:uid="{72671385-116C-4D77-BD49-6B0B5CBA0B62}"/>
    <hyperlink ref="K15" r:id="rId43" xr:uid="{EB6211C9-F294-4252-B6F5-424CF6028FB0}"/>
    <hyperlink ref="K16" r:id="rId44" xr:uid="{A9551D46-DAB6-45B3-B154-B2B4CB463B12}"/>
    <hyperlink ref="K17" r:id="rId45" xr:uid="{96256511-8183-44E0-B8E5-5D8EE568462B}"/>
    <hyperlink ref="K18" r:id="rId46" xr:uid="{787823A9-2BA4-431A-AA85-BDD7661B33E1}"/>
    <hyperlink ref="K19" r:id="rId47" xr:uid="{1066021D-6F2C-4715-8777-27AFFE15FF4A}"/>
    <hyperlink ref="K21" r:id="rId48" xr:uid="{A513D862-A01F-4604-BB37-50EC63A3AA5F}"/>
    <hyperlink ref="K20" r:id="rId49" xr:uid="{C6D176CE-CFB3-480E-9C08-C99B1B28259B}"/>
    <hyperlink ref="K22" r:id="rId50" xr:uid="{22981EBC-0E33-48C7-8ED4-54CDD8428573}"/>
    <hyperlink ref="W3" r:id="rId51" xr:uid="{2DBAC0BC-606A-47D4-BCA8-5BF2CC075988}"/>
    <hyperlink ref="W4" r:id="rId52" xr:uid="{883622A9-FFD3-4C7B-929B-7931124494DE}"/>
    <hyperlink ref="W5" r:id="rId53" xr:uid="{171D489A-65A9-47A5-B27D-5F537BB3674E}"/>
    <hyperlink ref="W6" r:id="rId54" xr:uid="{1718C604-5897-4383-B706-3644FCDE85F4}"/>
    <hyperlink ref="W7" r:id="rId55" xr:uid="{6E1D3ED8-7E28-470F-BB3E-53D0B3441D41}"/>
    <hyperlink ref="W23" r:id="rId56" xr:uid="{BCB01BEF-6C25-4068-A087-14F765344E46}"/>
    <hyperlink ref="W24" r:id="rId57" xr:uid="{68254EC4-7665-4FD7-AE97-9507D231512E}"/>
    <hyperlink ref="W25" r:id="rId58" xr:uid="{E50CE1AF-3AB9-4F19-8573-DBF4769D021B}"/>
    <hyperlink ref="W26" r:id="rId59" xr:uid="{BE777DC2-13BE-4CF7-BCAC-1A52158075CC}"/>
    <hyperlink ref="W27" r:id="rId60" xr:uid="{955391B8-BA82-405B-8CC8-0547B08092AA}"/>
    <hyperlink ref="W8" r:id="rId61" xr:uid="{3533668F-E12F-4E6B-9ABC-ED41192BA277}"/>
    <hyperlink ref="W9" r:id="rId62" xr:uid="{3DEBCF1D-2A0E-44EA-AA67-C96B74CAC2DD}"/>
    <hyperlink ref="W11" r:id="rId63" xr:uid="{5C1E63AF-BB2E-4E8B-B0D0-46FEF2BD336C}"/>
    <hyperlink ref="W10" r:id="rId64" xr:uid="{196016E1-7485-47D3-A55E-B2D7A5C666A5}"/>
    <hyperlink ref="W12" r:id="rId65" xr:uid="{4BE6D674-01B5-41F0-A22D-FA874D4E3E6F}"/>
    <hyperlink ref="W13" r:id="rId66" xr:uid="{C4F6F828-ED71-4DC2-9878-B132925C6FBE}"/>
    <hyperlink ref="W14" r:id="rId67" xr:uid="{FEB6B817-3DD4-4CF4-AF30-C69A5ED25730}"/>
    <hyperlink ref="W15" r:id="rId68" xr:uid="{4AC1F4CB-B74F-46F3-B3B4-E0D6A8B1C1C5}"/>
    <hyperlink ref="W16" r:id="rId69" xr:uid="{1F77848E-E8D8-4132-B479-3C62C32DAA30}"/>
    <hyperlink ref="W17" r:id="rId70" xr:uid="{7DE0EBC3-EC07-4072-84B9-EB4F293A663E}"/>
    <hyperlink ref="W18" r:id="rId71" xr:uid="{A0DA3125-EC38-41F7-8689-49E1D8215AE8}"/>
    <hyperlink ref="W19" r:id="rId72" xr:uid="{C6D11634-6512-4F44-B778-CD54C1933352}"/>
    <hyperlink ref="W21" r:id="rId73" xr:uid="{F956D918-2374-4685-8821-E608D17846D6}"/>
    <hyperlink ref="W20" r:id="rId74" xr:uid="{6E0C8243-168B-4D3C-B327-12B4B7D09F65}"/>
    <hyperlink ref="W22" r:id="rId75" xr:uid="{D563C9AF-AD7F-4242-AA7C-41BDA0935938}"/>
    <hyperlink ref="AH8" r:id="rId76" xr:uid="{9219EDA7-3FF2-4CB4-84CF-E0E98A351F70}"/>
    <hyperlink ref="AH9" r:id="rId77" xr:uid="{D6CA118A-F100-4292-ABC3-F44C38D6782A}"/>
    <hyperlink ref="AH11" r:id="rId78" xr:uid="{AC5EEC2F-806B-4033-B179-41677DB33328}"/>
    <hyperlink ref="AH10" r:id="rId79" xr:uid="{CA92021F-E75A-489E-85FC-636DCA21B891}"/>
    <hyperlink ref="AH12" r:id="rId80" xr:uid="{4C0BBD8D-A69D-42F4-9CA1-7EA5AAF4376A}"/>
    <hyperlink ref="AH3" r:id="rId81" xr:uid="{A694D57C-0929-4B68-A18C-1D835D0D27B3}"/>
    <hyperlink ref="AH4" r:id="rId82" xr:uid="{567F958A-56F8-4261-ABD1-8747F8E51612}"/>
    <hyperlink ref="AH5" r:id="rId83" xr:uid="{7B9C154B-CFDD-4E8D-9875-CC6B2506EC19}"/>
    <hyperlink ref="AH6" r:id="rId84" xr:uid="{106C9215-80F3-4026-A6A2-4E90D13CA16C}"/>
    <hyperlink ref="AH7" r:id="rId85" xr:uid="{04C40FCB-5162-49DF-830D-B2077DCBAAD6}"/>
    <hyperlink ref="AH18" r:id="rId86" xr:uid="{31888DF5-7263-4198-8D77-C515F5925759}"/>
    <hyperlink ref="AH19" r:id="rId87" xr:uid="{DBFABF51-DF00-4B67-80C8-2889A278F0F1}"/>
    <hyperlink ref="AH21" r:id="rId88" xr:uid="{3DA62C30-8D54-4B21-99BC-9499BBA2A6B5}"/>
    <hyperlink ref="AH20" r:id="rId89" xr:uid="{B071DAF6-94F7-4CE3-B12E-471A333351C1}"/>
    <hyperlink ref="AH22" r:id="rId90" xr:uid="{AD20B8D6-EE6B-469B-A877-A9D17939F7F9}"/>
    <hyperlink ref="AH13" r:id="rId91" xr:uid="{F7F47D1A-E404-40E8-BD4F-0D66953108BB}"/>
    <hyperlink ref="AH14" r:id="rId92" xr:uid="{4D3C62CA-C67E-4144-AFD1-E115F9F75CFB}"/>
    <hyperlink ref="AH15" r:id="rId93" xr:uid="{75A998C8-0A84-4A65-8EBE-B3FD2BC92E3C}"/>
    <hyperlink ref="AH16" r:id="rId94" xr:uid="{FA3D5EC4-D31A-425A-88F3-8BA66F98D556}"/>
    <hyperlink ref="AH17" r:id="rId95" xr:uid="{E6B56C7E-A199-427F-94E1-C3FAD3084876}"/>
    <hyperlink ref="AH23" r:id="rId96" xr:uid="{D68391B0-318E-4295-9C62-07D88F794047}"/>
    <hyperlink ref="AH24" r:id="rId97" xr:uid="{61A454B5-EEBF-4158-9F57-7D9B965F59F5}"/>
    <hyperlink ref="AH25" r:id="rId98" xr:uid="{14241A3B-F7E9-4D78-A9F3-EA8A011D8795}"/>
    <hyperlink ref="AH26" r:id="rId99" xr:uid="{9827D590-F084-45A9-8FF9-026C51B864A5}"/>
    <hyperlink ref="AH27" r:id="rId100" xr:uid="{FD692708-031E-43EB-BF34-B9329C022524}"/>
  </hyperlinks>
  <pageMargins left="0.7" right="0.7" top="0.75" bottom="0.75" header="0.3" footer="0.3"/>
  <pageSetup orientation="portrait" r:id="rId1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42D1-1405-4CBD-8068-CF9233CA70BD}">
  <dimension ref="A1:AT27"/>
  <sheetViews>
    <sheetView topLeftCell="F1" workbookViewId="0">
      <selection activeCell="O8" sqref="O8"/>
    </sheetView>
  </sheetViews>
  <sheetFormatPr defaultRowHeight="14.4" x14ac:dyDescent="0.3"/>
  <cols>
    <col min="11" max="11" width="29.21875" bestFit="1" customWidth="1"/>
    <col min="12" max="12" width="6.5546875" style="5" customWidth="1"/>
    <col min="13" max="15" width="8.88671875" customWidth="1"/>
    <col min="16" max="16" width="9.77734375" customWidth="1"/>
    <col min="17" max="17" width="8.88671875" customWidth="1"/>
    <col min="18" max="18" width="9.77734375" customWidth="1"/>
    <col min="19" max="19" width="8.88671875" customWidth="1"/>
    <col min="20" max="20" width="9.77734375" style="21" customWidth="1"/>
    <col min="23" max="23" width="29.21875" bestFit="1" customWidth="1"/>
    <col min="24" max="24" width="6" bestFit="1" customWidth="1"/>
    <col min="25" max="26" width="8.88671875" customWidth="1"/>
    <col min="27" max="27" width="8.88671875" style="22" customWidth="1"/>
    <col min="28" max="28" width="8.88671875" style="23" customWidth="1"/>
    <col min="29" max="31" width="8.88671875" style="22" customWidth="1"/>
    <col min="32" max="32" width="9.77734375" bestFit="1" customWidth="1"/>
    <col min="33" max="33" width="8.88671875" customWidth="1"/>
    <col min="34" max="34" width="22.109375" bestFit="1" customWidth="1"/>
    <col min="38" max="38" width="6.21875" style="22" bestFit="1" customWidth="1"/>
    <col min="39" max="39" width="9.77734375" style="22" bestFit="1" customWidth="1"/>
    <col min="40" max="40" width="6.21875" style="22" bestFit="1" customWidth="1"/>
    <col min="41" max="41" width="9.77734375" style="22" bestFit="1" customWidth="1"/>
    <col min="42" max="42" width="6.21875" style="22" bestFit="1" customWidth="1"/>
    <col min="43" max="43" width="9.77734375" bestFit="1" customWidth="1"/>
    <col min="44" max="44" width="8.88671875" style="5"/>
    <col min="46" max="46" width="29.21875" bestFit="1" customWidth="1"/>
  </cols>
  <sheetData>
    <row r="1" spans="1:46" x14ac:dyDescent="0.3">
      <c r="A1" s="46" t="s">
        <v>0</v>
      </c>
      <c r="B1" s="47"/>
      <c r="C1" s="48">
        <v>250</v>
      </c>
      <c r="D1" s="47"/>
      <c r="E1" s="48">
        <v>370</v>
      </c>
      <c r="F1" s="49"/>
      <c r="G1" s="44">
        <v>500</v>
      </c>
      <c r="H1" s="44"/>
      <c r="J1" s="40" t="s">
        <v>1</v>
      </c>
      <c r="K1" s="42" t="s">
        <v>2</v>
      </c>
      <c r="L1" s="18"/>
      <c r="M1" s="44" t="s">
        <v>0</v>
      </c>
      <c r="N1" s="44"/>
      <c r="O1" s="44">
        <v>250</v>
      </c>
      <c r="P1" s="44"/>
      <c r="Q1" s="44">
        <v>370</v>
      </c>
      <c r="R1" s="44"/>
      <c r="S1" s="44">
        <v>500</v>
      </c>
      <c r="T1" s="44"/>
      <c r="V1" s="40" t="s">
        <v>1</v>
      </c>
      <c r="W1" s="25" t="s">
        <v>2</v>
      </c>
      <c r="X1" s="18"/>
      <c r="Y1" s="44" t="s">
        <v>0</v>
      </c>
      <c r="Z1" s="44"/>
      <c r="AA1" s="44">
        <v>250</v>
      </c>
      <c r="AB1" s="44"/>
      <c r="AC1" s="44">
        <v>370</v>
      </c>
      <c r="AD1" s="44"/>
      <c r="AE1" s="44">
        <v>500</v>
      </c>
      <c r="AF1" s="44"/>
      <c r="AI1" s="3"/>
      <c r="AJ1" s="44" t="s">
        <v>0</v>
      </c>
      <c r="AK1" s="44"/>
      <c r="AL1" s="45">
        <v>250</v>
      </c>
      <c r="AM1" s="45"/>
      <c r="AN1" s="45">
        <v>370</v>
      </c>
      <c r="AO1" s="45"/>
      <c r="AP1" s="45">
        <v>500</v>
      </c>
      <c r="AQ1" s="45"/>
      <c r="AS1" s="40" t="s">
        <v>1</v>
      </c>
      <c r="AT1" s="42" t="s">
        <v>2</v>
      </c>
    </row>
    <row r="2" spans="1:46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5</v>
      </c>
      <c r="F2" s="6" t="s">
        <v>6</v>
      </c>
      <c r="G2" s="1" t="s">
        <v>5</v>
      </c>
      <c r="H2" s="1" t="s">
        <v>6</v>
      </c>
      <c r="J2" s="41"/>
      <c r="K2" s="43"/>
      <c r="L2" s="18" t="s">
        <v>31</v>
      </c>
      <c r="M2" s="1" t="s">
        <v>3</v>
      </c>
      <c r="N2" s="1" t="s">
        <v>4</v>
      </c>
      <c r="O2" s="1" t="s">
        <v>5</v>
      </c>
      <c r="P2" s="1" t="s">
        <v>8</v>
      </c>
      <c r="Q2" s="1" t="s">
        <v>5</v>
      </c>
      <c r="R2" s="1" t="s">
        <v>9</v>
      </c>
      <c r="S2" s="1" t="s">
        <v>5</v>
      </c>
      <c r="T2" s="29" t="s">
        <v>10</v>
      </c>
      <c r="V2" s="41"/>
      <c r="W2" s="26"/>
      <c r="X2" s="18" t="s">
        <v>31</v>
      </c>
      <c r="Y2" s="1" t="s">
        <v>3</v>
      </c>
      <c r="Z2" s="1" t="s">
        <v>4</v>
      </c>
      <c r="AA2" s="1" t="s">
        <v>5</v>
      </c>
      <c r="AB2" s="1" t="s">
        <v>8</v>
      </c>
      <c r="AC2" s="1" t="s">
        <v>5</v>
      </c>
      <c r="AD2" s="1" t="s">
        <v>9</v>
      </c>
      <c r="AE2" s="1" t="s">
        <v>5</v>
      </c>
      <c r="AF2" s="7" t="s">
        <v>10</v>
      </c>
      <c r="AI2" s="1" t="s">
        <v>7</v>
      </c>
      <c r="AJ2" s="1" t="s">
        <v>3</v>
      </c>
      <c r="AK2" s="1" t="s">
        <v>4</v>
      </c>
      <c r="AL2" s="4" t="s">
        <v>5</v>
      </c>
      <c r="AM2" s="8" t="s">
        <v>8</v>
      </c>
      <c r="AN2" s="4" t="s">
        <v>5</v>
      </c>
      <c r="AO2" s="4" t="s">
        <v>9</v>
      </c>
      <c r="AP2" s="4" t="s">
        <v>5</v>
      </c>
      <c r="AQ2" s="1" t="s">
        <v>10</v>
      </c>
      <c r="AS2" s="41"/>
      <c r="AT2" s="43"/>
    </row>
    <row r="3" spans="1:46" x14ac:dyDescent="0.3">
      <c r="A3" s="1">
        <v>100</v>
      </c>
      <c r="B3" s="1">
        <v>5</v>
      </c>
      <c r="C3" s="2">
        <v>10.45</v>
      </c>
      <c r="D3" s="2">
        <v>250.07470000000001</v>
      </c>
      <c r="E3" s="2">
        <v>11.25</v>
      </c>
      <c r="F3" s="2">
        <v>366.61410000000001</v>
      </c>
      <c r="G3" s="2">
        <v>11.85</v>
      </c>
      <c r="H3" s="2">
        <v>504.91079999999999</v>
      </c>
      <c r="I3">
        <v>2.794</v>
      </c>
      <c r="J3" s="9" t="s">
        <v>11</v>
      </c>
      <c r="K3" s="10" t="s">
        <v>12</v>
      </c>
      <c r="L3" s="24">
        <v>0.05</v>
      </c>
      <c r="M3" s="11">
        <v>100</v>
      </c>
      <c r="N3" s="11">
        <v>5</v>
      </c>
      <c r="O3" s="12">
        <f>Q3-('H for VWM with ARL0'!Q3-'H for VWM with ARL0'!O3)</f>
        <v>2.6658000000000004</v>
      </c>
      <c r="P3" s="12">
        <v>239.3236</v>
      </c>
      <c r="Q3" s="12">
        <f>S3-('H for VWM with ARL0'!S3-'H for VWM with ARL0'!Q3)</f>
        <v>2.7358000000000002</v>
      </c>
      <c r="R3" s="12">
        <v>362.49680000000001</v>
      </c>
      <c r="S3" s="19">
        <v>2.794</v>
      </c>
      <c r="T3" s="30">
        <v>510.3768</v>
      </c>
      <c r="V3" s="9" t="s">
        <v>11</v>
      </c>
      <c r="W3" s="10" t="s">
        <v>12</v>
      </c>
      <c r="X3" s="24">
        <v>0.1</v>
      </c>
      <c r="Y3" s="11">
        <v>100</v>
      </c>
      <c r="Z3" s="11">
        <v>5</v>
      </c>
      <c r="AA3" s="12">
        <v>3.2</v>
      </c>
      <c r="AB3" s="12">
        <v>265.0385</v>
      </c>
      <c r="AC3" s="12">
        <v>3.2949999999999999</v>
      </c>
      <c r="AD3" s="12">
        <v>375.51909999999998</v>
      </c>
      <c r="AE3" s="20">
        <v>3.3744999999999998</v>
      </c>
      <c r="AF3" s="19">
        <v>505.75369999999998</v>
      </c>
      <c r="AG3" s="9" t="s">
        <v>11</v>
      </c>
      <c r="AH3" s="10" t="s">
        <v>12</v>
      </c>
      <c r="AI3" s="24">
        <v>0.2</v>
      </c>
      <c r="AJ3" s="11">
        <v>100</v>
      </c>
      <c r="AK3" s="11">
        <v>5</v>
      </c>
      <c r="AL3" s="12">
        <f>AN3-(AP3-AN3)</f>
        <v>4.09</v>
      </c>
      <c r="AM3" s="12">
        <v>253.6463</v>
      </c>
      <c r="AN3" s="12">
        <v>4.25</v>
      </c>
      <c r="AO3" s="12">
        <v>373.77010000000001</v>
      </c>
      <c r="AP3" s="20">
        <v>4.41</v>
      </c>
      <c r="AQ3" s="19">
        <v>498.86989999999997</v>
      </c>
      <c r="AR3" s="19"/>
      <c r="AS3" s="19"/>
      <c r="AT3" s="10" t="s">
        <v>12</v>
      </c>
    </row>
    <row r="4" spans="1:46" x14ac:dyDescent="0.3">
      <c r="A4" s="1">
        <v>100</v>
      </c>
      <c r="B4" s="1">
        <v>10</v>
      </c>
      <c r="C4" s="2">
        <v>10</v>
      </c>
      <c r="D4" s="2">
        <v>248.27719999999999</v>
      </c>
      <c r="E4" s="2">
        <v>10.75</v>
      </c>
      <c r="F4" s="2">
        <v>376.40980000000002</v>
      </c>
      <c r="G4" s="2">
        <v>11.25</v>
      </c>
      <c r="H4" s="2">
        <v>505.50599999999997</v>
      </c>
      <c r="I4">
        <v>3.3744999999999998</v>
      </c>
      <c r="J4" s="13" t="s">
        <v>13</v>
      </c>
      <c r="K4" s="14" t="s">
        <v>14</v>
      </c>
      <c r="L4" s="24">
        <v>0.05</v>
      </c>
      <c r="M4" s="11">
        <v>100</v>
      </c>
      <c r="N4" s="11">
        <v>10</v>
      </c>
      <c r="O4" s="12">
        <f>Q4-('H for VWM with ARL0'!Q4-'H for VWM with ARL0'!O4)</f>
        <v>2.6549999999999998</v>
      </c>
      <c r="P4" s="12">
        <v>257.88720000000001</v>
      </c>
      <c r="Q4" s="12">
        <f>S4-('H for VWM with ARL0'!S4-'H for VWM with ARL0'!Q4)</f>
        <v>2.724210526315789</v>
      </c>
      <c r="R4" s="12">
        <v>384.71030000000002</v>
      </c>
      <c r="S4" s="12">
        <v>2.77</v>
      </c>
      <c r="T4" s="27">
        <v>511.90969999999999</v>
      </c>
      <c r="V4" s="13" t="s">
        <v>13</v>
      </c>
      <c r="W4" s="14" t="s">
        <v>14</v>
      </c>
      <c r="X4" s="24">
        <v>0.1</v>
      </c>
      <c r="Y4" s="11">
        <v>100</v>
      </c>
      <c r="Z4" s="11">
        <v>10</v>
      </c>
      <c r="AA4" s="12">
        <v>3.1509999999999998</v>
      </c>
      <c r="AB4" s="12">
        <v>244.2448</v>
      </c>
      <c r="AC4" s="12">
        <v>3.2450000000000001</v>
      </c>
      <c r="AD4" s="12">
        <v>369.21080000000001</v>
      </c>
      <c r="AE4" s="12">
        <v>3.335</v>
      </c>
      <c r="AF4" s="27">
        <v>508.339</v>
      </c>
      <c r="AG4" s="13" t="s">
        <v>13</v>
      </c>
      <c r="AH4" s="14" t="s">
        <v>14</v>
      </c>
      <c r="AI4" s="24">
        <v>0.2</v>
      </c>
      <c r="AJ4" s="11">
        <v>100</v>
      </c>
      <c r="AK4" s="11">
        <v>10</v>
      </c>
      <c r="AL4" s="12">
        <v>4.0259999999999998</v>
      </c>
      <c r="AM4" s="12">
        <v>264.5942</v>
      </c>
      <c r="AN4" s="12">
        <v>4.1749999999999998</v>
      </c>
      <c r="AO4" s="12">
        <v>380.10230000000001</v>
      </c>
      <c r="AP4" s="12">
        <v>4.3040000000000003</v>
      </c>
      <c r="AQ4" s="27">
        <v>513.41989999999998</v>
      </c>
      <c r="AS4" s="13" t="s">
        <v>13</v>
      </c>
      <c r="AT4" s="14" t="s">
        <v>14</v>
      </c>
    </row>
    <row r="5" spans="1:46" x14ac:dyDescent="0.3">
      <c r="A5" s="1">
        <v>100</v>
      </c>
      <c r="B5" s="1">
        <v>15</v>
      </c>
      <c r="C5" s="2">
        <v>9.75</v>
      </c>
      <c r="D5" s="2">
        <v>246.75299999999999</v>
      </c>
      <c r="E5" s="2">
        <v>10.45</v>
      </c>
      <c r="F5" s="2">
        <v>372.49169999999998</v>
      </c>
      <c r="G5" s="2">
        <v>10.95</v>
      </c>
      <c r="H5" s="2">
        <v>505.98169999999999</v>
      </c>
      <c r="I5">
        <v>4.41</v>
      </c>
      <c r="J5" s="13" t="s">
        <v>15</v>
      </c>
      <c r="K5" s="14" t="s">
        <v>16</v>
      </c>
      <c r="L5" s="24">
        <v>0.05</v>
      </c>
      <c r="M5" s="11">
        <v>100</v>
      </c>
      <c r="N5" s="11">
        <v>15</v>
      </c>
      <c r="O5" s="12">
        <v>2.6349999999999998</v>
      </c>
      <c r="P5" s="12">
        <v>260.31630000000001</v>
      </c>
      <c r="Q5" s="12">
        <v>2.69</v>
      </c>
      <c r="R5" s="12">
        <v>377.29070000000002</v>
      </c>
      <c r="S5" s="12">
        <v>2.7349999999999999</v>
      </c>
      <c r="T5" s="27">
        <v>501.65690000000001</v>
      </c>
      <c r="V5" s="13" t="s">
        <v>15</v>
      </c>
      <c r="W5" s="14" t="s">
        <v>16</v>
      </c>
      <c r="X5" s="24">
        <v>0.1</v>
      </c>
      <c r="Y5" s="11">
        <v>100</v>
      </c>
      <c r="Z5" s="11">
        <v>15</v>
      </c>
      <c r="AA5" s="12">
        <v>3.0950000000000002</v>
      </c>
      <c r="AB5" s="12">
        <v>236.79660000000001</v>
      </c>
      <c r="AC5" s="12">
        <f>AE5-0.07</f>
        <v>3.21</v>
      </c>
      <c r="AD5" s="12">
        <v>373.05709999999999</v>
      </c>
      <c r="AE5" s="12">
        <v>3.28</v>
      </c>
      <c r="AF5" s="27">
        <v>499.8809</v>
      </c>
      <c r="AG5" s="13" t="s">
        <v>15</v>
      </c>
      <c r="AH5" s="14" t="s">
        <v>16</v>
      </c>
      <c r="AI5" s="24">
        <v>0.2</v>
      </c>
      <c r="AJ5" s="11">
        <v>100</v>
      </c>
      <c r="AK5" s="11">
        <v>15</v>
      </c>
      <c r="AL5" s="12">
        <f t="shared" ref="AL5:AL16" si="0">AN5-(AP5-AN5)</f>
        <v>3.9829999999999997</v>
      </c>
      <c r="AM5" s="12">
        <v>263.50040000000001</v>
      </c>
      <c r="AN5" s="12">
        <v>4.1029999999999998</v>
      </c>
      <c r="AO5" s="12">
        <v>368.7851</v>
      </c>
      <c r="AP5" s="12">
        <v>4.2229999999999999</v>
      </c>
      <c r="AQ5" s="27">
        <v>492.37040000000002</v>
      </c>
      <c r="AS5" s="13" t="s">
        <v>15</v>
      </c>
      <c r="AT5" s="14" t="s">
        <v>16</v>
      </c>
    </row>
    <row r="6" spans="1:46" x14ac:dyDescent="0.3">
      <c r="A6" s="1">
        <v>100</v>
      </c>
      <c r="B6" s="1">
        <v>20</v>
      </c>
      <c r="C6" s="2">
        <v>9.6</v>
      </c>
      <c r="D6" s="2">
        <v>245.79339999999999</v>
      </c>
      <c r="E6" s="2">
        <v>10.25</v>
      </c>
      <c r="F6" s="2">
        <v>378.69650000000001</v>
      </c>
      <c r="G6" s="2">
        <v>10.75</v>
      </c>
      <c r="H6" s="2">
        <v>505.5453</v>
      </c>
      <c r="I6">
        <v>2.8380000000000001</v>
      </c>
      <c r="J6" s="13" t="s">
        <v>17</v>
      </c>
      <c r="K6" s="14" t="s">
        <v>18</v>
      </c>
      <c r="L6" s="24">
        <v>0.05</v>
      </c>
      <c r="M6" s="11">
        <v>100</v>
      </c>
      <c r="N6" s="11">
        <v>20</v>
      </c>
      <c r="O6" s="12">
        <f>Q6-('H for VWM with ARL0'!Q6-'H for VWM with ARL0'!O6)</f>
        <v>2.6100000000000003</v>
      </c>
      <c r="P6" s="12">
        <v>255.09710000000001</v>
      </c>
      <c r="Q6" s="12">
        <f>S6-('H for VWM with ARL0'!S6-'H for VWM with ARL0'!Q6)</f>
        <v>2.66</v>
      </c>
      <c r="R6" s="12">
        <v>371.4042</v>
      </c>
      <c r="S6" s="12">
        <v>2.7</v>
      </c>
      <c r="T6" s="27">
        <v>494.75760000000002</v>
      </c>
      <c r="V6" s="13" t="s">
        <v>17</v>
      </c>
      <c r="W6" s="14" t="s">
        <v>18</v>
      </c>
      <c r="X6" s="24">
        <v>0.1</v>
      </c>
      <c r="Y6" s="11">
        <v>100</v>
      </c>
      <c r="Z6" s="11">
        <v>20</v>
      </c>
      <c r="AA6" s="12">
        <v>3.085</v>
      </c>
      <c r="AB6" s="12">
        <v>265.37169999999998</v>
      </c>
      <c r="AC6" s="12">
        <f t="shared" ref="AC6:AC7" si="1">AE6-0.07</f>
        <v>3.1750000000000003</v>
      </c>
      <c r="AD6" s="12">
        <v>377.53660000000002</v>
      </c>
      <c r="AE6" s="12">
        <v>3.2450000000000001</v>
      </c>
      <c r="AF6" s="27">
        <v>508.16480000000001</v>
      </c>
      <c r="AG6" s="13" t="s">
        <v>17</v>
      </c>
      <c r="AH6" s="14" t="s">
        <v>18</v>
      </c>
      <c r="AI6" s="24">
        <v>0.2</v>
      </c>
      <c r="AJ6" s="11">
        <v>100</v>
      </c>
      <c r="AK6" s="11">
        <v>20</v>
      </c>
      <c r="AL6" s="12">
        <v>3.87</v>
      </c>
      <c r="AM6" s="12">
        <v>233.54169999999999</v>
      </c>
      <c r="AN6" s="12">
        <v>4.0199999999999996</v>
      </c>
      <c r="AO6" s="12">
        <v>348.17509999999999</v>
      </c>
      <c r="AP6" s="12">
        <v>4.1900000000000004</v>
      </c>
      <c r="AQ6" s="27">
        <v>523.36030000000005</v>
      </c>
      <c r="AS6" s="13" t="s">
        <v>17</v>
      </c>
      <c r="AT6" s="14" t="s">
        <v>18</v>
      </c>
    </row>
    <row r="7" spans="1:46" x14ac:dyDescent="0.3">
      <c r="A7" s="1">
        <v>100</v>
      </c>
      <c r="B7" s="1">
        <v>25</v>
      </c>
      <c r="C7" s="2">
        <v>9.5</v>
      </c>
      <c r="D7" s="2">
        <v>256.80689999999998</v>
      </c>
      <c r="E7" s="2">
        <v>10.050000000000001</v>
      </c>
      <c r="F7" s="2">
        <v>369.66019999999997</v>
      </c>
      <c r="G7" s="2">
        <v>10.55</v>
      </c>
      <c r="H7" s="2">
        <v>509.19479999999999</v>
      </c>
      <c r="I7">
        <v>3.44</v>
      </c>
      <c r="J7" s="15" t="s">
        <v>19</v>
      </c>
      <c r="K7" s="16" t="s">
        <v>20</v>
      </c>
      <c r="L7" s="24">
        <v>0.05</v>
      </c>
      <c r="M7" s="11">
        <v>100</v>
      </c>
      <c r="N7" s="11">
        <v>25</v>
      </c>
      <c r="O7" s="12">
        <v>2.585</v>
      </c>
      <c r="P7" s="12">
        <v>255.51</v>
      </c>
      <c r="Q7" s="12">
        <f>S7-('H for VWM with ARL0'!S7-'H for VWM with ARL0'!Q7)</f>
        <v>2.6349999999999998</v>
      </c>
      <c r="R7" s="12">
        <v>382.2885</v>
      </c>
      <c r="S7" s="12">
        <v>2.6749999999999998</v>
      </c>
      <c r="T7" s="27">
        <v>505.98020000000002</v>
      </c>
      <c r="V7" s="15" t="s">
        <v>19</v>
      </c>
      <c r="W7" s="16" t="s">
        <v>20</v>
      </c>
      <c r="X7" s="24">
        <v>0.1</v>
      </c>
      <c r="Y7" s="11">
        <v>100</v>
      </c>
      <c r="Z7" s="11">
        <v>25</v>
      </c>
      <c r="AA7" s="12">
        <v>3.05</v>
      </c>
      <c r="AB7" s="12">
        <v>262.04349999999999</v>
      </c>
      <c r="AC7" s="12">
        <f t="shared" si="1"/>
        <v>3.125</v>
      </c>
      <c r="AD7" s="12">
        <v>369.98590000000002</v>
      </c>
      <c r="AE7" s="12">
        <v>3.1949999999999998</v>
      </c>
      <c r="AF7" s="28">
        <v>511.88630000000001</v>
      </c>
      <c r="AG7" s="15" t="s">
        <v>19</v>
      </c>
      <c r="AH7" s="16" t="s">
        <v>20</v>
      </c>
      <c r="AI7" s="24">
        <v>0.2</v>
      </c>
      <c r="AJ7" s="11">
        <v>100</v>
      </c>
      <c r="AK7" s="11">
        <v>25</v>
      </c>
      <c r="AL7" s="12">
        <f t="shared" si="0"/>
        <v>3.8250000000000002</v>
      </c>
      <c r="AM7" s="12">
        <v>243.6883</v>
      </c>
      <c r="AN7" s="12">
        <v>3.97</v>
      </c>
      <c r="AO7" s="12">
        <v>367.16879999999998</v>
      </c>
      <c r="AP7" s="12">
        <v>4.1150000000000002</v>
      </c>
      <c r="AQ7" s="27">
        <v>517.10050000000001</v>
      </c>
      <c r="AS7" s="15" t="s">
        <v>19</v>
      </c>
      <c r="AT7" s="16" t="s">
        <v>20</v>
      </c>
    </row>
    <row r="8" spans="1:46" x14ac:dyDescent="0.3">
      <c r="A8" s="1">
        <v>125</v>
      </c>
      <c r="B8" s="1">
        <v>5</v>
      </c>
      <c r="C8" s="2">
        <v>10.7</v>
      </c>
      <c r="D8" s="2">
        <v>255.57320000000001</v>
      </c>
      <c r="E8" s="2">
        <v>11.5</v>
      </c>
      <c r="F8" s="2">
        <v>371.96120000000002</v>
      </c>
      <c r="G8" s="2">
        <v>12.1</v>
      </c>
      <c r="H8" s="2">
        <v>498.42509999999999</v>
      </c>
      <c r="I8">
        <v>4.5149999999999997</v>
      </c>
      <c r="J8" s="9" t="s">
        <v>21</v>
      </c>
      <c r="K8" s="10" t="s">
        <v>22</v>
      </c>
      <c r="L8" s="24">
        <v>0.05</v>
      </c>
      <c r="M8" s="17">
        <v>125</v>
      </c>
      <c r="N8" s="17">
        <v>5</v>
      </c>
      <c r="O8" s="19">
        <f>O3+('H for VWM with ARL0'!O8-'H for VWM with ARL0'!O3)</f>
        <v>2.6958000000000002</v>
      </c>
      <c r="P8" s="19">
        <v>254.2295</v>
      </c>
      <c r="Q8" s="19">
        <f>Q3+('H for VWM with ARL0'!Q8-'H for VWM with ARL0'!Q3)</f>
        <v>2.7658</v>
      </c>
      <c r="R8" s="19">
        <v>370.42200000000003</v>
      </c>
      <c r="S8" s="19">
        <v>2.8159999999999998</v>
      </c>
      <c r="T8" s="19">
        <v>494.15379999999999</v>
      </c>
      <c r="V8" s="9" t="s">
        <v>21</v>
      </c>
      <c r="W8" s="10" t="s">
        <v>22</v>
      </c>
      <c r="X8" s="24">
        <v>0.1</v>
      </c>
      <c r="Y8" s="17">
        <v>125</v>
      </c>
      <c r="Z8" s="17">
        <v>5</v>
      </c>
      <c r="AA8" s="19">
        <f>AC8-(AC3-AA3)</f>
        <v>3.2330000000000001</v>
      </c>
      <c r="AB8" s="19">
        <v>265.65589999999997</v>
      </c>
      <c r="AC8" s="19">
        <f>AE8-(AE3-AC3)</f>
        <v>3.3279999999999998</v>
      </c>
      <c r="AD8" s="19">
        <v>368.33800000000002</v>
      </c>
      <c r="AE8" s="19">
        <f>AE3+0.033</f>
        <v>3.4074999999999998</v>
      </c>
      <c r="AF8" s="19">
        <v>509.33260000000001</v>
      </c>
      <c r="AG8" s="9" t="s">
        <v>21</v>
      </c>
      <c r="AH8" s="10" t="s">
        <v>22</v>
      </c>
      <c r="AI8" s="24">
        <v>0.2</v>
      </c>
      <c r="AJ8" s="17">
        <v>125</v>
      </c>
      <c r="AK8" s="17">
        <v>5</v>
      </c>
      <c r="AL8" s="19">
        <f t="shared" ref="AL8:AL11" si="2">AN8-(AN3-AL3)</f>
        <v>4.1439189999999995</v>
      </c>
      <c r="AM8" s="19">
        <v>262.63600000000002</v>
      </c>
      <c r="AN8" s="19">
        <f>AP8-(AP3-AN3)</f>
        <v>4.3039189999999996</v>
      </c>
      <c r="AO8" s="19">
        <v>362.56209999999999</v>
      </c>
      <c r="AP8" s="19">
        <f t="shared" ref="AP8:AP24" si="3">AE8+(AE8-S8)*1.786</f>
        <v>4.4639189999999997</v>
      </c>
      <c r="AQ8" s="19">
        <v>494.40620000000001</v>
      </c>
      <c r="AS8" s="9" t="s">
        <v>21</v>
      </c>
      <c r="AT8" s="10" t="s">
        <v>22</v>
      </c>
    </row>
    <row r="9" spans="1:46" x14ac:dyDescent="0.3">
      <c r="A9" s="1">
        <v>125</v>
      </c>
      <c r="B9" s="1">
        <v>10</v>
      </c>
      <c r="C9" s="2">
        <v>10.25</v>
      </c>
      <c r="D9" s="2">
        <v>252.90289999999999</v>
      </c>
      <c r="E9" s="2">
        <v>11</v>
      </c>
      <c r="F9" s="2">
        <v>369.02620000000002</v>
      </c>
      <c r="G9" s="2">
        <v>11.55</v>
      </c>
      <c r="H9" s="2">
        <v>502.7106</v>
      </c>
      <c r="J9" s="13" t="s">
        <v>23</v>
      </c>
      <c r="K9" s="14" t="s">
        <v>24</v>
      </c>
      <c r="L9" s="24">
        <v>0.05</v>
      </c>
      <c r="M9" s="17">
        <v>125</v>
      </c>
      <c r="N9" s="17">
        <v>10</v>
      </c>
      <c r="O9" s="19">
        <f>O4+('H for VWM with ARL0'!O9-'H for VWM with ARL0'!O4)</f>
        <v>2.6850000000000001</v>
      </c>
      <c r="P9" s="19">
        <v>250.1463</v>
      </c>
      <c r="Q9" s="19">
        <f>Q4+('H for VWM with ARL0'!Q9-'H for VWM with ARL0'!Q4)</f>
        <v>2.75</v>
      </c>
      <c r="R9" s="19">
        <v>371.18329999999997</v>
      </c>
      <c r="S9" s="19">
        <v>2.7949999999999999</v>
      </c>
      <c r="T9" s="28">
        <v>495.15210000000002</v>
      </c>
      <c r="V9" s="13" t="s">
        <v>23</v>
      </c>
      <c r="W9" s="14" t="s">
        <v>24</v>
      </c>
      <c r="X9" s="24">
        <v>0.1</v>
      </c>
      <c r="Y9" s="17">
        <v>125</v>
      </c>
      <c r="Z9" s="17">
        <v>10</v>
      </c>
      <c r="AA9" s="19">
        <f t="shared" ref="AA9:AC12" si="4">AC9-(AC4-AA4)</f>
        <v>3.1839999999999997</v>
      </c>
      <c r="AB9" s="19">
        <v>250.68289999999999</v>
      </c>
      <c r="AC9" s="19">
        <f t="shared" si="4"/>
        <v>3.278</v>
      </c>
      <c r="AD9" s="19">
        <v>348.66759999999999</v>
      </c>
      <c r="AE9" s="19">
        <f>AE$8-(AE$3-AE4)</f>
        <v>3.3679999999999999</v>
      </c>
      <c r="AF9" s="28">
        <v>500.29300000000001</v>
      </c>
      <c r="AG9" s="13" t="s">
        <v>23</v>
      </c>
      <c r="AH9" s="14" t="s">
        <v>24</v>
      </c>
      <c r="AI9" s="24">
        <v>0.2</v>
      </c>
      <c r="AJ9" s="17">
        <v>125</v>
      </c>
      <c r="AK9" s="17">
        <v>10</v>
      </c>
      <c r="AL9" s="19">
        <f t="shared" si="2"/>
        <v>4.0830000000000002</v>
      </c>
      <c r="AM9" s="19">
        <v>259.98970000000003</v>
      </c>
      <c r="AN9" s="19">
        <v>4.2320000000000002</v>
      </c>
      <c r="AO9" s="19">
        <v>377.04270000000002</v>
      </c>
      <c r="AP9" s="19">
        <v>4.3810000000000002</v>
      </c>
      <c r="AQ9" s="28">
        <v>516.40830000000005</v>
      </c>
      <c r="AS9" s="13" t="s">
        <v>23</v>
      </c>
      <c r="AT9" s="14" t="s">
        <v>24</v>
      </c>
    </row>
    <row r="10" spans="1:46" x14ac:dyDescent="0.3">
      <c r="A10" s="1">
        <v>125</v>
      </c>
      <c r="B10" s="1">
        <v>15</v>
      </c>
      <c r="C10" s="2">
        <v>10.050000000000001</v>
      </c>
      <c r="D10" s="2">
        <v>250.7072</v>
      </c>
      <c r="E10" s="2">
        <v>10.75</v>
      </c>
      <c r="F10" s="2">
        <v>371.40649999999999</v>
      </c>
      <c r="G10" s="2">
        <v>11.25</v>
      </c>
      <c r="H10" s="2">
        <v>490.82619999999997</v>
      </c>
      <c r="J10" s="13" t="s">
        <v>27</v>
      </c>
      <c r="K10" s="14" t="s">
        <v>28</v>
      </c>
      <c r="L10" s="24">
        <v>0.05</v>
      </c>
      <c r="M10" s="17">
        <v>125</v>
      </c>
      <c r="N10" s="17">
        <v>15</v>
      </c>
      <c r="O10" s="19">
        <f>O5+('H for VWM with ARL0'!O10-'H for VWM with ARL0'!O5)</f>
        <v>2.6649999999999996</v>
      </c>
      <c r="P10" s="19">
        <v>254.26179999999999</v>
      </c>
      <c r="Q10" s="19">
        <f>Q5+('H for VWM with ARL0'!Q10-'H for VWM with ARL0'!Q5)</f>
        <v>2.7349999999999999</v>
      </c>
      <c r="R10" s="19">
        <v>381.46519999999998</v>
      </c>
      <c r="S10" s="19">
        <v>2.78</v>
      </c>
      <c r="T10" s="28">
        <v>521.19110000000001</v>
      </c>
      <c r="V10" s="13" t="s">
        <v>27</v>
      </c>
      <c r="W10" s="14" t="s">
        <v>28</v>
      </c>
      <c r="X10" s="24">
        <v>0.1</v>
      </c>
      <c r="Y10" s="17">
        <v>125</v>
      </c>
      <c r="Z10" s="17">
        <v>15</v>
      </c>
      <c r="AA10" s="19">
        <f t="shared" si="4"/>
        <v>3.1450000000000005</v>
      </c>
      <c r="AB10" s="19">
        <v>238.08770000000001</v>
      </c>
      <c r="AC10" s="19">
        <f t="shared" si="4"/>
        <v>3.2600000000000002</v>
      </c>
      <c r="AD10" s="19">
        <v>384.85700000000003</v>
      </c>
      <c r="AE10" s="19">
        <v>3.33</v>
      </c>
      <c r="AF10" s="28">
        <v>492.35829999999999</v>
      </c>
      <c r="AG10" s="13" t="s">
        <v>27</v>
      </c>
      <c r="AH10" s="14" t="s">
        <v>28</v>
      </c>
      <c r="AI10" s="24">
        <v>0.2</v>
      </c>
      <c r="AJ10" s="17">
        <v>125</v>
      </c>
      <c r="AK10" s="17">
        <v>15</v>
      </c>
      <c r="AL10" s="19">
        <v>4</v>
      </c>
      <c r="AM10" s="19">
        <v>242.7835</v>
      </c>
      <c r="AN10" s="19">
        <f t="shared" ref="AN10" si="5">AP10-(AP5-AN5)</f>
        <v>4.1819999999999995</v>
      </c>
      <c r="AO10" s="19">
        <v>376.29770000000002</v>
      </c>
      <c r="AP10" s="19">
        <v>4.3019999999999996</v>
      </c>
      <c r="AQ10" s="28">
        <v>497.25920000000002</v>
      </c>
      <c r="AS10" s="13" t="s">
        <v>25</v>
      </c>
      <c r="AT10" s="14" t="s">
        <v>26</v>
      </c>
    </row>
    <row r="11" spans="1:46" x14ac:dyDescent="0.3">
      <c r="A11" s="1">
        <v>125</v>
      </c>
      <c r="B11" s="1">
        <v>20</v>
      </c>
      <c r="C11" s="2">
        <v>9.85</v>
      </c>
      <c r="D11" s="2">
        <v>246.35290000000001</v>
      </c>
      <c r="E11" s="2">
        <v>10.55</v>
      </c>
      <c r="H11" s="2">
        <v>500.26740000000001</v>
      </c>
      <c r="J11" s="13" t="s">
        <v>25</v>
      </c>
      <c r="K11" s="14" t="s">
        <v>26</v>
      </c>
      <c r="L11" s="24">
        <v>0.05</v>
      </c>
      <c r="M11" s="17">
        <v>125</v>
      </c>
      <c r="N11" s="17">
        <v>20</v>
      </c>
      <c r="O11" s="19">
        <f>O6+('H for VWM with ARL0'!O11-'H for VWM with ARL0'!O6)</f>
        <v>2.64</v>
      </c>
      <c r="P11" s="19">
        <v>248.1943</v>
      </c>
      <c r="Q11" s="19">
        <v>2.6970000000000001</v>
      </c>
      <c r="R11" s="19">
        <v>345.09539999999998</v>
      </c>
      <c r="S11" s="19">
        <v>2.74</v>
      </c>
      <c r="T11" s="28">
        <v>488.69009999999997</v>
      </c>
      <c r="V11" s="13" t="s">
        <v>25</v>
      </c>
      <c r="W11" s="14" t="s">
        <v>26</v>
      </c>
      <c r="X11" s="24">
        <v>0.1</v>
      </c>
      <c r="Y11" s="17">
        <v>125</v>
      </c>
      <c r="Z11" s="17">
        <v>20</v>
      </c>
      <c r="AA11" s="19">
        <f t="shared" si="4"/>
        <v>3.1379999999999999</v>
      </c>
      <c r="AB11" s="19">
        <v>265.26159999999999</v>
      </c>
      <c r="AC11" s="19">
        <f t="shared" si="4"/>
        <v>3.2280000000000002</v>
      </c>
      <c r="AD11" s="19">
        <v>383.74119999999999</v>
      </c>
      <c r="AE11" s="19">
        <v>3.298</v>
      </c>
      <c r="AF11" s="28">
        <v>510.03809999999999</v>
      </c>
      <c r="AG11" s="13" t="s">
        <v>25</v>
      </c>
      <c r="AH11" s="14" t="s">
        <v>26</v>
      </c>
      <c r="AI11" s="24">
        <v>0.2</v>
      </c>
      <c r="AJ11" s="17">
        <v>125</v>
      </c>
      <c r="AK11" s="17">
        <v>20</v>
      </c>
      <c r="AL11" s="19">
        <f t="shared" si="2"/>
        <v>3.9750000000000005</v>
      </c>
      <c r="AM11" s="19">
        <v>252.3348</v>
      </c>
      <c r="AN11" s="19">
        <v>4.125</v>
      </c>
      <c r="AO11" s="19">
        <v>368.77609999999999</v>
      </c>
      <c r="AP11" s="19">
        <v>4.2750000000000004</v>
      </c>
      <c r="AQ11" s="28">
        <v>522.50869999999998</v>
      </c>
      <c r="AS11" s="13" t="s">
        <v>27</v>
      </c>
      <c r="AT11" s="14" t="s">
        <v>28</v>
      </c>
    </row>
    <row r="12" spans="1:46" x14ac:dyDescent="0.3">
      <c r="A12" s="1">
        <v>125</v>
      </c>
      <c r="B12" s="1">
        <v>25</v>
      </c>
      <c r="C12" s="2">
        <v>9.75</v>
      </c>
      <c r="D12" s="2">
        <v>250.8844</v>
      </c>
      <c r="E12" s="2">
        <v>10.35</v>
      </c>
      <c r="F12" s="2">
        <v>366.31700000000001</v>
      </c>
      <c r="G12" s="2">
        <v>10.85</v>
      </c>
      <c r="H12" s="2">
        <v>502.49889999999999</v>
      </c>
      <c r="J12" s="15" t="s">
        <v>32</v>
      </c>
      <c r="K12" s="16" t="s">
        <v>33</v>
      </c>
      <c r="L12" s="24">
        <v>0.05</v>
      </c>
      <c r="M12" s="17">
        <v>125</v>
      </c>
      <c r="N12" s="17">
        <v>25</v>
      </c>
      <c r="O12" s="19">
        <f>O7+('H for VWM with ARL0'!O12-'H for VWM with ARL0'!O7)</f>
        <v>2.6149999999999998</v>
      </c>
      <c r="P12" s="19">
        <v>248.02160000000001</v>
      </c>
      <c r="Q12" s="19">
        <f>Q7+('H for VWM with ARL0'!Q12-'H for VWM with ARL0'!Q7)-0.01</f>
        <v>2.6749999999999998</v>
      </c>
      <c r="R12" s="19">
        <v>367.95319999999998</v>
      </c>
      <c r="S12" s="19">
        <v>2.7249999999999996</v>
      </c>
      <c r="T12" s="28">
        <v>525.57529999999997</v>
      </c>
      <c r="V12" s="15" t="s">
        <v>32</v>
      </c>
      <c r="W12" s="16" t="s">
        <v>33</v>
      </c>
      <c r="X12" s="24">
        <v>0.1</v>
      </c>
      <c r="Y12" s="17">
        <v>125</v>
      </c>
      <c r="Z12" s="17">
        <v>25</v>
      </c>
      <c r="AA12" s="19">
        <v>3.11</v>
      </c>
      <c r="AB12" s="19">
        <v>264.82069999999999</v>
      </c>
      <c r="AC12" s="19">
        <f t="shared" si="4"/>
        <v>3.198</v>
      </c>
      <c r="AD12" s="19">
        <v>384.42090000000002</v>
      </c>
      <c r="AE12" s="19">
        <v>3.2679999999999998</v>
      </c>
      <c r="AF12" s="28">
        <v>528.2346</v>
      </c>
      <c r="AG12" s="15" t="s">
        <v>32</v>
      </c>
      <c r="AH12" s="16" t="s">
        <v>33</v>
      </c>
      <c r="AI12" s="24">
        <v>0.2</v>
      </c>
      <c r="AJ12" s="17">
        <v>125</v>
      </c>
      <c r="AK12" s="17">
        <v>25</v>
      </c>
      <c r="AL12" s="19">
        <f t="shared" ref="AL12" si="6">AN12-(AN7-AL7)</f>
        <v>3.9330000000000003</v>
      </c>
      <c r="AM12" s="19">
        <v>256.82209999999998</v>
      </c>
      <c r="AN12" s="19">
        <v>4.0780000000000003</v>
      </c>
      <c r="AO12" s="19">
        <v>377.76060000000001</v>
      </c>
      <c r="AP12" s="19">
        <v>4.2080000000000002</v>
      </c>
      <c r="AQ12" s="28">
        <v>506.73970000000003</v>
      </c>
      <c r="AS12" s="15" t="s">
        <v>29</v>
      </c>
      <c r="AT12" s="16" t="s">
        <v>30</v>
      </c>
    </row>
    <row r="13" spans="1:46" x14ac:dyDescent="0.3">
      <c r="A13" s="1">
        <v>150</v>
      </c>
      <c r="B13" s="1">
        <v>5</v>
      </c>
      <c r="C13" s="2">
        <v>10.85</v>
      </c>
      <c r="D13" s="2">
        <v>253.87880000000001</v>
      </c>
      <c r="E13" s="2">
        <v>11.7</v>
      </c>
      <c r="F13" s="2">
        <v>367.00580000000002</v>
      </c>
      <c r="G13" s="2">
        <v>12.4</v>
      </c>
      <c r="H13" s="2">
        <v>508.04450000000003</v>
      </c>
      <c r="J13" s="9" t="s">
        <v>11</v>
      </c>
      <c r="K13" s="10" t="s">
        <v>12</v>
      </c>
      <c r="L13" s="24">
        <v>0.05</v>
      </c>
      <c r="M13" s="11">
        <v>150</v>
      </c>
      <c r="N13" s="11">
        <v>5</v>
      </c>
      <c r="O13" s="12">
        <f>Q13-('H for VWM with ARL0'!Q13-'H for VWM with ARL0'!O13)</f>
        <v>2.7150000000000003</v>
      </c>
      <c r="P13" s="12">
        <v>255.84569999999999</v>
      </c>
      <c r="Q13" s="12">
        <v>2.7850000000000001</v>
      </c>
      <c r="R13" s="12">
        <v>386.07940000000002</v>
      </c>
      <c r="S13" s="12">
        <v>2.8380000000000001</v>
      </c>
      <c r="T13" s="27">
        <v>503.50599999999997</v>
      </c>
      <c r="V13" s="9" t="s">
        <v>11</v>
      </c>
      <c r="W13" s="10" t="s">
        <v>12</v>
      </c>
      <c r="X13" s="24">
        <v>0.1</v>
      </c>
      <c r="Y13" s="11">
        <v>150</v>
      </c>
      <c r="Z13" s="11">
        <v>5</v>
      </c>
      <c r="AA13" s="12">
        <v>3.2469999999999999</v>
      </c>
      <c r="AB13" s="12">
        <v>253.4743</v>
      </c>
      <c r="AC13" s="12">
        <v>3.347</v>
      </c>
      <c r="AD13" s="12">
        <v>367.43419999999998</v>
      </c>
      <c r="AE13" s="20">
        <v>3.44</v>
      </c>
      <c r="AF13" s="27">
        <v>498.79570000000001</v>
      </c>
      <c r="AG13" s="9" t="s">
        <v>11</v>
      </c>
      <c r="AH13" s="10" t="s">
        <v>12</v>
      </c>
      <c r="AI13" s="24">
        <v>0.2</v>
      </c>
      <c r="AJ13" s="11">
        <v>150</v>
      </c>
      <c r="AK13" s="11">
        <v>5</v>
      </c>
      <c r="AL13" s="12">
        <f t="shared" si="0"/>
        <v>4.1951719999999995</v>
      </c>
      <c r="AM13" s="12">
        <v>266.66329999999999</v>
      </c>
      <c r="AN13" s="12">
        <f>AP13-(AP3-AN3)</f>
        <v>4.3551719999999996</v>
      </c>
      <c r="AO13" s="12">
        <v>356.6284</v>
      </c>
      <c r="AP13" s="12">
        <f t="shared" si="3"/>
        <v>4.5151719999999997</v>
      </c>
      <c r="AQ13" s="27">
        <v>487.69760000000002</v>
      </c>
      <c r="AS13" s="9" t="s">
        <v>21</v>
      </c>
      <c r="AT13" s="10" t="s">
        <v>22</v>
      </c>
    </row>
    <row r="14" spans="1:46" x14ac:dyDescent="0.3">
      <c r="A14" s="1">
        <v>150</v>
      </c>
      <c r="B14" s="1">
        <v>10</v>
      </c>
      <c r="C14" s="2">
        <v>10.4</v>
      </c>
      <c r="D14" s="2">
        <v>249.2807</v>
      </c>
      <c r="E14" s="2">
        <v>11.200000000000001</v>
      </c>
      <c r="F14" s="2">
        <v>371.41370000000001</v>
      </c>
      <c r="G14" s="2">
        <v>11.85</v>
      </c>
      <c r="H14" s="2">
        <v>509.5566</v>
      </c>
      <c r="J14" s="13" t="s">
        <v>13</v>
      </c>
      <c r="K14" s="14" t="s">
        <v>14</v>
      </c>
      <c r="L14" s="24">
        <v>0.05</v>
      </c>
      <c r="M14" s="11">
        <v>150</v>
      </c>
      <c r="N14" s="11">
        <v>10</v>
      </c>
      <c r="O14" s="12">
        <f>Q14-('H for VWM with ARL0'!Q14-'H for VWM with ARL0'!O14)</f>
        <v>2.7050000000000001</v>
      </c>
      <c r="P14" s="12">
        <v>259.28550000000001</v>
      </c>
      <c r="Q14" s="12">
        <v>2.77</v>
      </c>
      <c r="R14" s="12">
        <v>386.45299999999997</v>
      </c>
      <c r="S14" s="12">
        <v>2.8149999999999999</v>
      </c>
      <c r="T14" s="27">
        <v>491.40120000000002</v>
      </c>
      <c r="V14" s="13" t="s">
        <v>13</v>
      </c>
      <c r="W14" s="14" t="s">
        <v>14</v>
      </c>
      <c r="X14" s="24">
        <v>0.1</v>
      </c>
      <c r="Y14" s="11">
        <v>150</v>
      </c>
      <c r="Z14" s="11">
        <v>10</v>
      </c>
      <c r="AA14" s="12">
        <v>3.2229999999999999</v>
      </c>
      <c r="AB14" s="12">
        <v>252.1123</v>
      </c>
      <c r="AC14" s="12">
        <v>3.3119999999999998</v>
      </c>
      <c r="AD14" s="12">
        <v>356.64940000000001</v>
      </c>
      <c r="AE14" s="12">
        <f>AE$13-(S$13-S14)</f>
        <v>3.4169999999999998</v>
      </c>
      <c r="AF14" s="27">
        <v>519.07659999999998</v>
      </c>
      <c r="AG14" s="13" t="s">
        <v>13</v>
      </c>
      <c r="AH14" s="14" t="s">
        <v>14</v>
      </c>
      <c r="AI14" s="24">
        <v>0.2</v>
      </c>
      <c r="AJ14" s="11">
        <v>150</v>
      </c>
      <c r="AK14" s="11">
        <v>10</v>
      </c>
      <c r="AL14" s="12">
        <f t="shared" si="0"/>
        <v>4.0780000000000003</v>
      </c>
      <c r="AM14" s="12">
        <v>233.89230000000001</v>
      </c>
      <c r="AN14" s="12">
        <v>4.25</v>
      </c>
      <c r="AO14" s="12">
        <v>346.29219999999998</v>
      </c>
      <c r="AP14" s="12">
        <v>4.4219999999999997</v>
      </c>
      <c r="AQ14" s="27">
        <v>520.25250000000005</v>
      </c>
      <c r="AS14" s="13" t="s">
        <v>23</v>
      </c>
      <c r="AT14" s="14" t="s">
        <v>24</v>
      </c>
    </row>
    <row r="15" spans="1:46" x14ac:dyDescent="0.3">
      <c r="A15" s="1">
        <v>150</v>
      </c>
      <c r="B15" s="1">
        <v>15</v>
      </c>
      <c r="C15" s="2">
        <v>10.199999999999999</v>
      </c>
      <c r="D15" s="2">
        <v>248.06479999999999</v>
      </c>
      <c r="E15" s="2">
        <v>10.950000000000001</v>
      </c>
      <c r="F15" s="2">
        <v>368.30880000000002</v>
      </c>
      <c r="G15" s="2">
        <v>11.5</v>
      </c>
      <c r="H15" s="2">
        <v>505.1798</v>
      </c>
      <c r="J15" s="13" t="s">
        <v>15</v>
      </c>
      <c r="K15" s="14" t="s">
        <v>16</v>
      </c>
      <c r="L15" s="24">
        <v>0.05</v>
      </c>
      <c r="M15" s="11">
        <v>150</v>
      </c>
      <c r="N15" s="11">
        <v>15</v>
      </c>
      <c r="O15" s="12">
        <f>Q15-('H for VWM with ARL0'!Q15-'H for VWM with ARL0'!O15)</f>
        <v>2.6799999999999997</v>
      </c>
      <c r="P15" s="12">
        <v>240.53360000000001</v>
      </c>
      <c r="Q15" s="12">
        <f>S15-('H for VWM with ARL0'!S15-'H for VWM with ARL0'!Q15)</f>
        <v>2.7449999999999997</v>
      </c>
      <c r="R15" s="12">
        <v>372.51769999999999</v>
      </c>
      <c r="S15" s="12">
        <v>2.7949999999999999</v>
      </c>
      <c r="T15" s="27">
        <v>505.9248</v>
      </c>
      <c r="V15" s="13" t="s">
        <v>15</v>
      </c>
      <c r="W15" s="14" t="s">
        <v>16</v>
      </c>
      <c r="X15" s="24">
        <v>0.1</v>
      </c>
      <c r="Y15" s="11">
        <v>150</v>
      </c>
      <c r="Z15" s="11">
        <v>15</v>
      </c>
      <c r="AA15" s="12">
        <v>3.1949999999999998</v>
      </c>
      <c r="AB15" s="12">
        <v>251.3544</v>
      </c>
      <c r="AC15" s="12">
        <v>3.2949999999999999</v>
      </c>
      <c r="AD15" s="12">
        <v>375.0985</v>
      </c>
      <c r="AE15" s="12">
        <v>3.3769999999999998</v>
      </c>
      <c r="AF15" s="27">
        <v>505.95499999999998</v>
      </c>
      <c r="AG15" s="13" t="s">
        <v>15</v>
      </c>
      <c r="AH15" s="14" t="s">
        <v>16</v>
      </c>
      <c r="AI15" s="24">
        <v>0.2</v>
      </c>
      <c r="AJ15" s="11">
        <v>150</v>
      </c>
      <c r="AK15" s="11">
        <v>15</v>
      </c>
      <c r="AL15" s="12">
        <f t="shared" si="0"/>
        <v>4.0500000000000007</v>
      </c>
      <c r="AM15" s="12">
        <v>240.67920000000001</v>
      </c>
      <c r="AN15" s="12">
        <v>4.2080000000000002</v>
      </c>
      <c r="AO15" s="12">
        <v>341.87209999999999</v>
      </c>
      <c r="AP15" s="12">
        <v>4.3659999999999997</v>
      </c>
      <c r="AQ15" s="27">
        <v>520.50559999999996</v>
      </c>
      <c r="AS15" s="13" t="s">
        <v>25</v>
      </c>
      <c r="AT15" s="14" t="s">
        <v>26</v>
      </c>
    </row>
    <row r="16" spans="1:46" x14ac:dyDescent="0.3">
      <c r="A16" s="1">
        <v>150</v>
      </c>
      <c r="B16" s="1">
        <v>20</v>
      </c>
      <c r="C16" s="2">
        <v>10.050000000000001</v>
      </c>
      <c r="D16" s="2">
        <v>245.9033</v>
      </c>
      <c r="E16" s="2">
        <v>10.750000000000002</v>
      </c>
      <c r="F16" s="2">
        <v>364.84</v>
      </c>
      <c r="G16" s="2">
        <v>11.35</v>
      </c>
      <c r="H16" s="2">
        <v>510.44</v>
      </c>
      <c r="J16" s="13" t="s">
        <v>17</v>
      </c>
      <c r="K16" s="14" t="s">
        <v>18</v>
      </c>
      <c r="L16" s="24">
        <v>0.05</v>
      </c>
      <c r="M16" s="11">
        <v>150</v>
      </c>
      <c r="N16" s="11">
        <v>20</v>
      </c>
      <c r="O16" s="12">
        <v>2.66</v>
      </c>
      <c r="P16" s="12">
        <v>242.08600000000001</v>
      </c>
      <c r="Q16" s="12">
        <v>2.73</v>
      </c>
      <c r="R16" s="12">
        <v>384.19929999999999</v>
      </c>
      <c r="S16" s="12">
        <v>2.7749999999999999</v>
      </c>
      <c r="T16" s="27">
        <v>488.28179999999998</v>
      </c>
      <c r="V16" s="13" t="s">
        <v>17</v>
      </c>
      <c r="W16" s="14" t="s">
        <v>18</v>
      </c>
      <c r="X16" s="24">
        <v>0.1</v>
      </c>
      <c r="Y16" s="11">
        <v>150</v>
      </c>
      <c r="Z16" s="11">
        <v>20</v>
      </c>
      <c r="AA16" s="12">
        <v>3.1749999999999998</v>
      </c>
      <c r="AB16" s="12">
        <v>266.62939999999998</v>
      </c>
      <c r="AC16" s="12">
        <v>3.2549999999999999</v>
      </c>
      <c r="AD16" s="12">
        <v>358.95350000000002</v>
      </c>
      <c r="AE16" s="12">
        <v>3.347</v>
      </c>
      <c r="AF16" s="27">
        <v>520.7278</v>
      </c>
      <c r="AG16" s="13" t="s">
        <v>17</v>
      </c>
      <c r="AH16" s="14" t="s">
        <v>18</v>
      </c>
      <c r="AI16" s="24">
        <v>0.2</v>
      </c>
      <c r="AJ16" s="11">
        <v>150</v>
      </c>
      <c r="AK16" s="11">
        <v>20</v>
      </c>
      <c r="AL16" s="12">
        <f t="shared" si="0"/>
        <v>4.0349999999999993</v>
      </c>
      <c r="AM16" s="12">
        <v>257.3578</v>
      </c>
      <c r="AN16" s="12">
        <v>4.1749999999999998</v>
      </c>
      <c r="AO16" s="12">
        <v>357.27980000000002</v>
      </c>
      <c r="AP16" s="12">
        <v>4.3150000000000004</v>
      </c>
      <c r="AQ16" s="27">
        <v>498.03359999999998</v>
      </c>
      <c r="AS16" s="13" t="s">
        <v>27</v>
      </c>
      <c r="AT16" s="14" t="s">
        <v>28</v>
      </c>
    </row>
    <row r="17" spans="1:46" x14ac:dyDescent="0.3">
      <c r="A17" s="1">
        <v>150</v>
      </c>
      <c r="B17" s="1">
        <v>25</v>
      </c>
      <c r="C17" s="2">
        <v>9.9499999999999993</v>
      </c>
      <c r="D17" s="2">
        <v>251.96899999999999</v>
      </c>
      <c r="E17" s="2">
        <v>10.6</v>
      </c>
      <c r="F17" s="2">
        <v>376.1669</v>
      </c>
      <c r="G17" s="2">
        <v>11.15</v>
      </c>
      <c r="H17" s="2">
        <v>508.01620000000003</v>
      </c>
      <c r="J17" s="15" t="s">
        <v>19</v>
      </c>
      <c r="K17" s="16" t="s">
        <v>20</v>
      </c>
      <c r="L17" s="24">
        <v>0.05</v>
      </c>
      <c r="M17" s="11">
        <v>150</v>
      </c>
      <c r="N17" s="11">
        <v>25</v>
      </c>
      <c r="O17" s="12">
        <f>Q17-('H for VWM with ARL0'!Q17-'H for VWM with ARL0'!O17)</f>
        <v>2.64</v>
      </c>
      <c r="P17" s="12">
        <v>238.17179999999999</v>
      </c>
      <c r="Q17" s="12">
        <v>2.7</v>
      </c>
      <c r="R17" s="12">
        <v>359.8818</v>
      </c>
      <c r="S17" s="12">
        <v>2.7549999999999999</v>
      </c>
      <c r="T17" s="27">
        <v>532.51170000000002</v>
      </c>
      <c r="V17" s="15" t="s">
        <v>19</v>
      </c>
      <c r="W17" s="16" t="s">
        <v>20</v>
      </c>
      <c r="X17" s="24">
        <v>0.1</v>
      </c>
      <c r="Y17" s="11">
        <v>150</v>
      </c>
      <c r="Z17" s="11">
        <v>25</v>
      </c>
      <c r="AA17" s="12">
        <v>3.15</v>
      </c>
      <c r="AB17" s="12">
        <v>262.12040000000002</v>
      </c>
      <c r="AC17" s="12">
        <v>3.2250000000000001</v>
      </c>
      <c r="AD17" s="12">
        <v>359.36790000000002</v>
      </c>
      <c r="AE17" s="12">
        <v>3.3170000000000002</v>
      </c>
      <c r="AF17" s="27">
        <v>508.59050000000002</v>
      </c>
      <c r="AG17" s="15" t="s">
        <v>19</v>
      </c>
      <c r="AH17" s="16" t="s">
        <v>20</v>
      </c>
      <c r="AI17" s="24">
        <v>0.2</v>
      </c>
      <c r="AJ17" s="11">
        <v>150</v>
      </c>
      <c r="AK17" s="11">
        <v>25</v>
      </c>
      <c r="AL17" s="12">
        <v>4.0199999999999996</v>
      </c>
      <c r="AM17" s="12">
        <v>267.7337</v>
      </c>
      <c r="AN17" s="12">
        <v>4.1550000000000002</v>
      </c>
      <c r="AO17" s="12">
        <v>374.41800000000001</v>
      </c>
      <c r="AP17" s="12">
        <v>4.2649999999999997</v>
      </c>
      <c r="AQ17" s="27">
        <v>501.75830000000002</v>
      </c>
      <c r="AS17" s="15" t="s">
        <v>29</v>
      </c>
      <c r="AT17" s="16" t="s">
        <v>30</v>
      </c>
    </row>
    <row r="18" spans="1:46" x14ac:dyDescent="0.3">
      <c r="A18" s="1">
        <v>175</v>
      </c>
      <c r="B18" s="1">
        <v>5</v>
      </c>
      <c r="C18" s="2">
        <v>11</v>
      </c>
      <c r="D18" s="2">
        <v>258.27940000000001</v>
      </c>
      <c r="E18" s="2">
        <v>11.849999999999998</v>
      </c>
      <c r="F18" s="2">
        <v>362.4744</v>
      </c>
      <c r="G18" s="2">
        <v>12.55</v>
      </c>
      <c r="H18" s="2">
        <v>502.57580000000002</v>
      </c>
      <c r="J18" s="9" t="s">
        <v>21</v>
      </c>
      <c r="K18" s="10" t="s">
        <v>22</v>
      </c>
      <c r="L18" s="24">
        <v>0.05</v>
      </c>
      <c r="M18" s="17">
        <v>175</v>
      </c>
      <c r="N18" s="17">
        <v>5</v>
      </c>
      <c r="O18" s="19">
        <f t="shared" ref="O18" si="7">O13+(O13-O8)</f>
        <v>2.7342000000000004</v>
      </c>
      <c r="P18" s="19">
        <v>254.31049999999999</v>
      </c>
      <c r="Q18" s="19">
        <f t="shared" ref="Q18" si="8">Q13+(Q13-Q8)</f>
        <v>2.8042000000000002</v>
      </c>
      <c r="R18" s="19">
        <v>377.41699999999997</v>
      </c>
      <c r="S18" s="19">
        <f>S13+(S13-S8)</f>
        <v>2.8600000000000003</v>
      </c>
      <c r="T18" s="28">
        <v>521.23149999999998</v>
      </c>
      <c r="V18" s="9" t="s">
        <v>21</v>
      </c>
      <c r="W18" s="10" t="s">
        <v>22</v>
      </c>
      <c r="X18" s="24">
        <v>0.1</v>
      </c>
      <c r="Y18" s="17">
        <v>175</v>
      </c>
      <c r="Z18" s="17">
        <v>5</v>
      </c>
      <c r="AA18" s="19">
        <v>3.27</v>
      </c>
      <c r="AB18" s="19">
        <v>256.77030000000002</v>
      </c>
      <c r="AC18" s="19">
        <f>AE18-(AE13-AC13)</f>
        <v>3.3795000000000002</v>
      </c>
      <c r="AD18" s="19">
        <v>370.84390000000002</v>
      </c>
      <c r="AE18" s="19">
        <f>AE13+(AE13-AE8)</f>
        <v>3.4725000000000001</v>
      </c>
      <c r="AF18" s="28">
        <v>518.77890000000002</v>
      </c>
      <c r="AG18" s="9" t="s">
        <v>21</v>
      </c>
      <c r="AH18" s="10" t="s">
        <v>22</v>
      </c>
      <c r="AI18" s="24">
        <v>0.2</v>
      </c>
      <c r="AJ18" s="17">
        <v>175</v>
      </c>
      <c r="AK18" s="17">
        <v>5</v>
      </c>
      <c r="AL18" s="19">
        <v>4.226</v>
      </c>
      <c r="AM18" s="19">
        <v>261.61380000000003</v>
      </c>
      <c r="AN18" s="19">
        <f>AP18-(AP13-AN13)</f>
        <v>4.4064249999999996</v>
      </c>
      <c r="AO18" s="19">
        <v>376.08909999999997</v>
      </c>
      <c r="AP18" s="19">
        <f t="shared" si="3"/>
        <v>4.5664249999999997</v>
      </c>
      <c r="AQ18" s="28">
        <v>507.53480000000002</v>
      </c>
      <c r="AS18" s="9" t="s">
        <v>21</v>
      </c>
      <c r="AT18" s="10" t="s">
        <v>22</v>
      </c>
    </row>
    <row r="19" spans="1:46" x14ac:dyDescent="0.3">
      <c r="A19" s="1">
        <v>175</v>
      </c>
      <c r="B19" s="1">
        <v>10</v>
      </c>
      <c r="C19" s="2">
        <v>10.55</v>
      </c>
      <c r="D19" s="2">
        <v>252.71799999999999</v>
      </c>
      <c r="E19" s="2">
        <v>11.350000000000001</v>
      </c>
      <c r="F19" s="2">
        <v>368.35469999999998</v>
      </c>
      <c r="G19" s="2">
        <v>11.999999999999998</v>
      </c>
      <c r="H19" s="2">
        <v>514.36220000000003</v>
      </c>
      <c r="J19" s="13" t="s">
        <v>23</v>
      </c>
      <c r="K19" s="14" t="s">
        <v>24</v>
      </c>
      <c r="L19" s="24">
        <v>0.05</v>
      </c>
      <c r="M19" s="17">
        <v>175</v>
      </c>
      <c r="N19" s="17">
        <v>10</v>
      </c>
      <c r="O19" s="19">
        <f t="shared" ref="O19:Q19" si="9">O14+(O14-O9)</f>
        <v>2.7250000000000001</v>
      </c>
      <c r="P19" s="19">
        <v>260.57409999999999</v>
      </c>
      <c r="Q19" s="19">
        <f t="shared" si="9"/>
        <v>2.79</v>
      </c>
      <c r="R19" s="19">
        <v>392.03840000000002</v>
      </c>
      <c r="S19" s="19">
        <v>2.84</v>
      </c>
      <c r="T19" s="28">
        <v>512.76790000000005</v>
      </c>
      <c r="V19" s="13" t="s">
        <v>23</v>
      </c>
      <c r="W19" s="14" t="s">
        <v>24</v>
      </c>
      <c r="X19" s="24">
        <v>0.1</v>
      </c>
      <c r="Y19" s="17">
        <v>175</v>
      </c>
      <c r="Z19" s="17">
        <v>10</v>
      </c>
      <c r="AA19" s="19">
        <f t="shared" ref="AA19:AA24" si="10">AC19-(AC14-AA14)</f>
        <v>3.2360000000000002</v>
      </c>
      <c r="AB19" s="19">
        <v>250.86330000000001</v>
      </c>
      <c r="AC19" s="19">
        <f t="shared" ref="AC19:AC27" si="11">AE19-(AE14-AC14)</f>
        <v>3.3250000000000002</v>
      </c>
      <c r="AD19" s="19">
        <v>345.71800000000002</v>
      </c>
      <c r="AE19" s="19">
        <v>3.43</v>
      </c>
      <c r="AF19" s="28">
        <v>517.59090000000003</v>
      </c>
      <c r="AG19" s="13" t="s">
        <v>23</v>
      </c>
      <c r="AH19" s="14" t="s">
        <v>24</v>
      </c>
      <c r="AI19" s="24">
        <v>0.2</v>
      </c>
      <c r="AJ19" s="17">
        <v>175</v>
      </c>
      <c r="AK19" s="17">
        <v>10</v>
      </c>
      <c r="AL19" s="19">
        <f t="shared" ref="AL19:AL24" si="12">AN19-(AN14-AL14)</f>
        <v>4.1397400000000015</v>
      </c>
      <c r="AM19" s="19">
        <v>249.11009999999999</v>
      </c>
      <c r="AN19" s="19">
        <f t="shared" ref="AN19:AN25" si="13">AP19-(AP14-AN14)</f>
        <v>4.3117400000000012</v>
      </c>
      <c r="AO19" s="19">
        <v>370.8365</v>
      </c>
      <c r="AP19" s="19">
        <f t="shared" si="3"/>
        <v>4.4837400000000009</v>
      </c>
      <c r="AQ19" s="28">
        <v>517.87689999999998</v>
      </c>
      <c r="AS19" s="13" t="s">
        <v>23</v>
      </c>
      <c r="AT19" s="14" t="s">
        <v>24</v>
      </c>
    </row>
    <row r="20" spans="1:46" x14ac:dyDescent="0.3">
      <c r="A20" s="1">
        <v>175</v>
      </c>
      <c r="B20" s="1">
        <v>15</v>
      </c>
      <c r="C20" s="2">
        <v>10.349999999999998</v>
      </c>
      <c r="D20" s="2">
        <v>251.84379999999999</v>
      </c>
      <c r="E20" s="2">
        <v>11.100000000000001</v>
      </c>
      <c r="F20" s="2">
        <v>369.28910000000002</v>
      </c>
      <c r="G20" s="2">
        <v>11.65</v>
      </c>
      <c r="H20" s="2">
        <v>499.4939</v>
      </c>
      <c r="J20" s="13" t="s">
        <v>27</v>
      </c>
      <c r="K20" s="14" t="s">
        <v>28</v>
      </c>
      <c r="L20" s="24">
        <v>0.05</v>
      </c>
      <c r="M20" s="17">
        <v>175</v>
      </c>
      <c r="N20" s="17">
        <v>15</v>
      </c>
      <c r="O20" s="19">
        <f t="shared" ref="O20:Q20" si="14">O15+(O15-O10)</f>
        <v>2.6949999999999998</v>
      </c>
      <c r="P20" s="19">
        <v>237.21170000000001</v>
      </c>
      <c r="Q20" s="19">
        <f t="shared" si="14"/>
        <v>2.7549999999999994</v>
      </c>
      <c r="R20" s="19">
        <v>357.34359999999998</v>
      </c>
      <c r="S20" s="19">
        <f>S15+(S15-S10)</f>
        <v>2.81</v>
      </c>
      <c r="T20" s="28">
        <v>474.6216</v>
      </c>
      <c r="V20" s="13" t="s">
        <v>27</v>
      </c>
      <c r="W20" s="14" t="s">
        <v>28</v>
      </c>
      <c r="X20" s="24">
        <v>0.1</v>
      </c>
      <c r="Y20" s="17">
        <v>175</v>
      </c>
      <c r="Z20" s="17">
        <v>15</v>
      </c>
      <c r="AA20" s="19">
        <f t="shared" si="10"/>
        <v>3.2275</v>
      </c>
      <c r="AB20" s="19">
        <v>260.82859999999999</v>
      </c>
      <c r="AC20" s="19">
        <f t="shared" si="11"/>
        <v>3.3275000000000001</v>
      </c>
      <c r="AD20" s="19">
        <v>389.91590000000002</v>
      </c>
      <c r="AE20" s="19">
        <v>3.4095</v>
      </c>
      <c r="AF20" s="28">
        <v>523.96180000000004</v>
      </c>
      <c r="AG20" s="13" t="s">
        <v>27</v>
      </c>
      <c r="AH20" s="14" t="s">
        <v>28</v>
      </c>
      <c r="AI20" s="24">
        <v>0.2</v>
      </c>
      <c r="AJ20" s="17">
        <v>175</v>
      </c>
      <c r="AK20" s="17">
        <v>15</v>
      </c>
      <c r="AL20" s="19">
        <f t="shared" si="12"/>
        <v>4.104000000000001</v>
      </c>
      <c r="AM20" s="19">
        <v>260.24130000000002</v>
      </c>
      <c r="AN20" s="19">
        <f t="shared" si="13"/>
        <v>4.2620000000000005</v>
      </c>
      <c r="AO20" s="19">
        <v>351.47829999999999</v>
      </c>
      <c r="AP20" s="19">
        <v>4.42</v>
      </c>
      <c r="AQ20" s="28">
        <v>493.9434</v>
      </c>
      <c r="AS20" s="13" t="s">
        <v>25</v>
      </c>
      <c r="AT20" s="14" t="s">
        <v>26</v>
      </c>
    </row>
    <row r="21" spans="1:46" x14ac:dyDescent="0.3">
      <c r="A21" s="1">
        <v>175</v>
      </c>
      <c r="B21" s="1">
        <v>20</v>
      </c>
      <c r="C21" s="2">
        <v>10.250000000000002</v>
      </c>
      <c r="D21" s="2">
        <v>258.40109999999999</v>
      </c>
      <c r="E21" s="2">
        <v>10.900000000000002</v>
      </c>
      <c r="F21" s="2">
        <v>368.61239999999998</v>
      </c>
      <c r="G21" s="2">
        <v>11.499999999999998</v>
      </c>
      <c r="H21" s="2">
        <v>509.33229999999998</v>
      </c>
      <c r="J21" s="13" t="s">
        <v>25</v>
      </c>
      <c r="K21" s="14" t="s">
        <v>26</v>
      </c>
      <c r="L21" s="24">
        <v>0.05</v>
      </c>
      <c r="M21" s="17">
        <v>175</v>
      </c>
      <c r="N21" s="17">
        <v>20</v>
      </c>
      <c r="O21" s="19">
        <f t="shared" ref="O21" si="15">O16+(O16-O11)</f>
        <v>2.68</v>
      </c>
      <c r="P21" s="19">
        <v>246.1019</v>
      </c>
      <c r="Q21" s="19">
        <v>2.7450000000000001</v>
      </c>
      <c r="R21" s="19">
        <v>372.8639</v>
      </c>
      <c r="S21" s="19">
        <v>2.8</v>
      </c>
      <c r="T21" s="28">
        <v>497.24090000000001</v>
      </c>
      <c r="V21" s="13" t="s">
        <v>25</v>
      </c>
      <c r="W21" s="14" t="s">
        <v>26</v>
      </c>
      <c r="X21" s="24">
        <v>0.1</v>
      </c>
      <c r="Y21" s="17">
        <v>175</v>
      </c>
      <c r="Z21" s="17">
        <v>20</v>
      </c>
      <c r="AA21" s="19">
        <f t="shared" si="10"/>
        <v>3.2075</v>
      </c>
      <c r="AB21" s="19">
        <v>254.24289999999999</v>
      </c>
      <c r="AC21" s="19">
        <f t="shared" si="11"/>
        <v>3.2875000000000001</v>
      </c>
      <c r="AD21" s="19">
        <v>367.28440000000001</v>
      </c>
      <c r="AE21" s="19">
        <v>3.3795000000000002</v>
      </c>
      <c r="AF21" s="28">
        <v>511.57769999999999</v>
      </c>
      <c r="AG21" s="13" t="s">
        <v>25</v>
      </c>
      <c r="AH21" s="14" t="s">
        <v>26</v>
      </c>
      <c r="AI21" s="24">
        <v>0.2</v>
      </c>
      <c r="AJ21" s="17">
        <v>175</v>
      </c>
      <c r="AK21" s="17">
        <v>20</v>
      </c>
      <c r="AL21" s="19">
        <v>4.08</v>
      </c>
      <c r="AM21" s="19">
        <v>262.83780000000002</v>
      </c>
      <c r="AN21" s="19">
        <v>4.24</v>
      </c>
      <c r="AO21" s="19">
        <v>379.81310000000002</v>
      </c>
      <c r="AP21" s="19">
        <v>4.3650000000000002</v>
      </c>
      <c r="AQ21" s="28">
        <v>515.70650000000001</v>
      </c>
      <c r="AS21" s="13" t="s">
        <v>27</v>
      </c>
      <c r="AT21" s="14" t="s">
        <v>28</v>
      </c>
    </row>
    <row r="22" spans="1:46" x14ac:dyDescent="0.3">
      <c r="A22" s="1">
        <v>175</v>
      </c>
      <c r="B22" s="1">
        <v>25</v>
      </c>
      <c r="C22" s="2">
        <v>10.149999999999999</v>
      </c>
      <c r="D22" s="2">
        <v>260.10489999999999</v>
      </c>
      <c r="E22" s="2">
        <v>10.799999999999999</v>
      </c>
      <c r="F22" s="2">
        <v>371.0147</v>
      </c>
      <c r="G22" s="2">
        <v>11.3</v>
      </c>
      <c r="H22" s="2">
        <v>498.25580000000002</v>
      </c>
      <c r="J22" s="15" t="s">
        <v>32</v>
      </c>
      <c r="K22" s="16" t="s">
        <v>33</v>
      </c>
      <c r="L22" s="24">
        <v>0.05</v>
      </c>
      <c r="M22" s="17">
        <v>175</v>
      </c>
      <c r="N22" s="17">
        <v>25</v>
      </c>
      <c r="O22" s="19">
        <f t="shared" ref="O22:Q22" si="16">O17+(O17-O12)</f>
        <v>2.6650000000000005</v>
      </c>
      <c r="P22" s="19">
        <v>243.2818</v>
      </c>
      <c r="Q22" s="19">
        <f t="shared" si="16"/>
        <v>2.7250000000000005</v>
      </c>
      <c r="R22" s="19">
        <v>366.39319999999998</v>
      </c>
      <c r="S22" s="19">
        <f t="shared" ref="S22" si="17">S17+(S17-S12)</f>
        <v>2.7850000000000001</v>
      </c>
      <c r="T22" s="28">
        <v>528.99869999999999</v>
      </c>
      <c r="V22" s="15" t="s">
        <v>32</v>
      </c>
      <c r="W22" s="16" t="s">
        <v>33</v>
      </c>
      <c r="X22" s="24">
        <v>0.1</v>
      </c>
      <c r="Y22" s="17">
        <v>175</v>
      </c>
      <c r="Z22" s="17">
        <v>25</v>
      </c>
      <c r="AA22" s="19">
        <f t="shared" si="10"/>
        <v>3.1825000000000001</v>
      </c>
      <c r="AB22" s="19">
        <v>265.53820000000002</v>
      </c>
      <c r="AC22" s="19">
        <f t="shared" si="11"/>
        <v>3.2575000000000003</v>
      </c>
      <c r="AD22" s="19">
        <v>365.64729999999997</v>
      </c>
      <c r="AE22" s="19">
        <v>3.3495000000000004</v>
      </c>
      <c r="AF22" s="28">
        <v>496.90109999999999</v>
      </c>
      <c r="AG22" s="15" t="s">
        <v>32</v>
      </c>
      <c r="AH22" s="16" t="s">
        <v>33</v>
      </c>
      <c r="AI22" s="24">
        <v>0.2</v>
      </c>
      <c r="AJ22" s="17">
        <v>175</v>
      </c>
      <c r="AK22" s="17">
        <v>25</v>
      </c>
      <c r="AL22" s="19">
        <v>4.04</v>
      </c>
      <c r="AM22" s="19">
        <v>257.0521</v>
      </c>
      <c r="AN22" s="19">
        <v>4.2080000000000002</v>
      </c>
      <c r="AO22" s="19">
        <v>383.67689999999999</v>
      </c>
      <c r="AP22" s="19">
        <v>4.3380000000000001</v>
      </c>
      <c r="AQ22" s="28">
        <v>514.30229999999995</v>
      </c>
      <c r="AS22" s="15" t="s">
        <v>29</v>
      </c>
      <c r="AT22" s="16" t="s">
        <v>30</v>
      </c>
    </row>
    <row r="23" spans="1:46" x14ac:dyDescent="0.3">
      <c r="A23" s="1">
        <v>200</v>
      </c>
      <c r="B23" s="1">
        <v>5</v>
      </c>
      <c r="C23" s="2">
        <v>11.1</v>
      </c>
      <c r="D23" s="2">
        <v>258.4289</v>
      </c>
      <c r="E23" s="2">
        <v>11.95</v>
      </c>
      <c r="F23" s="2">
        <v>372.33159999999998</v>
      </c>
      <c r="G23" s="2">
        <v>12.75</v>
      </c>
      <c r="H23" s="2">
        <v>516.69680000000005</v>
      </c>
      <c r="J23" s="9" t="s">
        <v>11</v>
      </c>
      <c r="K23" s="10" t="s">
        <v>12</v>
      </c>
      <c r="L23" s="24">
        <v>0.05</v>
      </c>
      <c r="M23" s="11">
        <v>200</v>
      </c>
      <c r="N23" s="11">
        <v>5</v>
      </c>
      <c r="O23" s="12">
        <v>2.7450000000000001</v>
      </c>
      <c r="P23" s="12">
        <v>262.91849999999999</v>
      </c>
      <c r="Q23" s="12">
        <v>2.8029999999999999</v>
      </c>
      <c r="R23" s="12">
        <v>363.78149999999999</v>
      </c>
      <c r="S23" s="12">
        <v>2.8620000000000001</v>
      </c>
      <c r="T23" s="27">
        <v>502.29919999999998</v>
      </c>
      <c r="V23" s="9" t="s">
        <v>11</v>
      </c>
      <c r="W23" s="10" t="s">
        <v>12</v>
      </c>
      <c r="X23" s="24">
        <v>0.1</v>
      </c>
      <c r="Y23" s="11">
        <v>200</v>
      </c>
      <c r="Z23" s="11">
        <v>5</v>
      </c>
      <c r="AA23" s="12">
        <v>3.2949999999999999</v>
      </c>
      <c r="AB23" s="12">
        <v>268.255</v>
      </c>
      <c r="AC23" s="12">
        <f t="shared" si="11"/>
        <v>3.4020000000000001</v>
      </c>
      <c r="AD23" s="12">
        <v>393.37139999999999</v>
      </c>
      <c r="AE23" s="12">
        <v>3.4950000000000001</v>
      </c>
      <c r="AF23" s="27">
        <v>530.64449999999999</v>
      </c>
      <c r="AG23" s="9" t="s">
        <v>11</v>
      </c>
      <c r="AH23" s="10" t="s">
        <v>12</v>
      </c>
      <c r="AI23" s="24">
        <v>0.2</v>
      </c>
      <c r="AJ23" s="11">
        <v>200</v>
      </c>
      <c r="AK23" s="11">
        <v>5</v>
      </c>
      <c r="AL23" s="12">
        <v>4.24</v>
      </c>
      <c r="AM23" s="12">
        <v>260.20190000000002</v>
      </c>
      <c r="AN23" s="12">
        <f t="shared" si="13"/>
        <v>4.4399999999999995</v>
      </c>
      <c r="AO23" s="12">
        <v>377.18279999999999</v>
      </c>
      <c r="AP23" s="12">
        <v>4.5999999999999996</v>
      </c>
      <c r="AQ23" s="27">
        <v>511.04109999999997</v>
      </c>
      <c r="AS23" s="9" t="s">
        <v>11</v>
      </c>
      <c r="AT23" s="10" t="s">
        <v>12</v>
      </c>
    </row>
    <row r="24" spans="1:46" x14ac:dyDescent="0.3">
      <c r="A24" s="1">
        <v>200</v>
      </c>
      <c r="B24" s="1">
        <v>10</v>
      </c>
      <c r="C24" s="2">
        <v>10.65</v>
      </c>
      <c r="D24" s="2">
        <v>251.33349999999999</v>
      </c>
      <c r="E24" s="2">
        <v>11.5</v>
      </c>
      <c r="F24" s="2">
        <v>376.25380000000001</v>
      </c>
      <c r="G24" s="2">
        <v>12.15</v>
      </c>
      <c r="H24" s="2">
        <v>516.10239999999999</v>
      </c>
      <c r="J24" s="13" t="s">
        <v>13</v>
      </c>
      <c r="K24" s="14" t="s">
        <v>14</v>
      </c>
      <c r="L24" s="24">
        <v>0.05</v>
      </c>
      <c r="M24" s="11">
        <v>200</v>
      </c>
      <c r="N24" s="11">
        <v>10</v>
      </c>
      <c r="O24" s="12">
        <v>2.7330000000000001</v>
      </c>
      <c r="P24" s="12">
        <v>259.94540000000001</v>
      </c>
      <c r="Q24" s="12">
        <v>2.79</v>
      </c>
      <c r="R24" s="12">
        <v>374.16550000000001</v>
      </c>
      <c r="S24" s="12">
        <v>2.85</v>
      </c>
      <c r="T24" s="27">
        <v>515.60490000000004</v>
      </c>
      <c r="V24" s="13" t="s">
        <v>13</v>
      </c>
      <c r="W24" s="14" t="s">
        <v>14</v>
      </c>
      <c r="X24" s="24">
        <v>0.1</v>
      </c>
      <c r="Y24" s="11">
        <v>200</v>
      </c>
      <c r="Z24" s="11">
        <v>10</v>
      </c>
      <c r="AA24" s="12">
        <f t="shared" si="10"/>
        <v>3.2709999999999999</v>
      </c>
      <c r="AB24" s="12">
        <v>252.9074</v>
      </c>
      <c r="AC24" s="12">
        <v>3.36</v>
      </c>
      <c r="AD24" s="12">
        <v>374.59969999999998</v>
      </c>
      <c r="AE24" s="12">
        <f t="shared" ref="AE24:AE27" si="18">AE19+(AE19-AE14)</f>
        <v>3.4430000000000005</v>
      </c>
      <c r="AF24" s="27">
        <v>503.79880000000003</v>
      </c>
      <c r="AG24" s="13" t="s">
        <v>13</v>
      </c>
      <c r="AH24" s="14" t="s">
        <v>14</v>
      </c>
      <c r="AI24" s="24">
        <v>0.2</v>
      </c>
      <c r="AJ24" s="11">
        <v>200</v>
      </c>
      <c r="AK24" s="11">
        <v>10</v>
      </c>
      <c r="AL24" s="12">
        <f t="shared" si="12"/>
        <v>4.1580980000000016</v>
      </c>
      <c r="AM24" s="12">
        <v>249.0772</v>
      </c>
      <c r="AN24" s="12">
        <f t="shared" si="13"/>
        <v>4.3300980000000013</v>
      </c>
      <c r="AO24" s="12">
        <v>361.14839999999998</v>
      </c>
      <c r="AP24" s="12">
        <f t="shared" si="3"/>
        <v>4.502098000000001</v>
      </c>
      <c r="AQ24" s="27">
        <v>505.80380000000002</v>
      </c>
      <c r="AS24" s="13" t="s">
        <v>13</v>
      </c>
      <c r="AT24" s="14" t="s">
        <v>14</v>
      </c>
    </row>
    <row r="25" spans="1:46" x14ac:dyDescent="0.3">
      <c r="A25" s="1">
        <v>200</v>
      </c>
      <c r="B25" s="1">
        <v>15</v>
      </c>
      <c r="C25" s="2">
        <v>10.45</v>
      </c>
      <c r="D25" s="2">
        <v>246.94970000000001</v>
      </c>
      <c r="E25" s="2">
        <v>11.200000000000001</v>
      </c>
      <c r="F25" s="2">
        <v>362.49160000000001</v>
      </c>
      <c r="G25" s="2">
        <v>11.75</v>
      </c>
      <c r="H25" s="2">
        <v>490.02530000000002</v>
      </c>
      <c r="J25" s="13" t="s">
        <v>15</v>
      </c>
      <c r="K25" s="14" t="s">
        <v>16</v>
      </c>
      <c r="L25" s="24">
        <v>0.05</v>
      </c>
      <c r="M25" s="11">
        <v>200</v>
      </c>
      <c r="N25" s="11">
        <v>15</v>
      </c>
      <c r="O25" s="12">
        <v>2.7141999999999999</v>
      </c>
      <c r="P25" s="12">
        <v>251.07689999999999</v>
      </c>
      <c r="Q25" s="12">
        <f t="shared" ref="Q25:Q27" si="19">Q24+(Q20-Q19)</f>
        <v>2.7549999999999994</v>
      </c>
      <c r="R25" s="12">
        <v>362.71050000000002</v>
      </c>
      <c r="S25" s="12">
        <v>2.8319999999999999</v>
      </c>
      <c r="T25" s="27">
        <v>494.1037</v>
      </c>
      <c r="V25" s="13" t="s">
        <v>15</v>
      </c>
      <c r="W25" s="14" t="s">
        <v>16</v>
      </c>
      <c r="X25" s="24">
        <v>0.1</v>
      </c>
      <c r="Y25" s="11">
        <v>200</v>
      </c>
      <c r="Z25" s="11">
        <v>15</v>
      </c>
      <c r="AA25" s="12">
        <f>AC25-(AC20-AA20)</f>
        <v>3.238</v>
      </c>
      <c r="AB25" s="12">
        <v>258.65960000000001</v>
      </c>
      <c r="AC25" s="12">
        <f t="shared" si="11"/>
        <v>3.3380000000000001</v>
      </c>
      <c r="AD25" s="12">
        <v>382.89609999999999</v>
      </c>
      <c r="AE25" s="12">
        <v>3.42</v>
      </c>
      <c r="AF25" s="27">
        <v>514.42819999999995</v>
      </c>
      <c r="AG25" s="13" t="s">
        <v>15</v>
      </c>
      <c r="AH25" s="14" t="s">
        <v>16</v>
      </c>
      <c r="AI25" s="24">
        <v>0.2</v>
      </c>
      <c r="AJ25" s="11">
        <v>200</v>
      </c>
      <c r="AK25" s="11">
        <v>15</v>
      </c>
      <c r="AL25" s="12">
        <v>4.1340000000000003</v>
      </c>
      <c r="AM25" s="12">
        <v>258.44589999999999</v>
      </c>
      <c r="AN25" s="12">
        <f t="shared" si="13"/>
        <v>4.3121680000000007</v>
      </c>
      <c r="AO25" s="12">
        <v>377.56599999999997</v>
      </c>
      <c r="AP25" s="12">
        <f>AE25+(AE25-S25)*1.786</f>
        <v>4.4701680000000001</v>
      </c>
      <c r="AQ25" s="27">
        <v>526.69719999999995</v>
      </c>
      <c r="AS25" s="13" t="s">
        <v>15</v>
      </c>
      <c r="AT25" s="14" t="s">
        <v>16</v>
      </c>
    </row>
    <row r="26" spans="1:46" x14ac:dyDescent="0.3">
      <c r="A26" s="1">
        <v>200</v>
      </c>
      <c r="B26" s="1">
        <v>20</v>
      </c>
      <c r="C26" s="2">
        <v>10.3</v>
      </c>
      <c r="D26" s="2">
        <v>243.64150000000001</v>
      </c>
      <c r="E26" s="2">
        <v>11.05</v>
      </c>
      <c r="F26" s="2">
        <v>374.63010000000003</v>
      </c>
      <c r="G26" s="2">
        <v>11.65</v>
      </c>
      <c r="H26" s="2">
        <v>511.48340000000002</v>
      </c>
      <c r="J26" s="13" t="s">
        <v>17</v>
      </c>
      <c r="K26" s="14" t="s">
        <v>18</v>
      </c>
      <c r="L26" s="24">
        <v>0.05</v>
      </c>
      <c r="M26" s="11">
        <v>200</v>
      </c>
      <c r="N26" s="11">
        <v>20</v>
      </c>
      <c r="O26" s="12">
        <v>2.6992000000000003</v>
      </c>
      <c r="P26" s="12">
        <v>254.1935</v>
      </c>
      <c r="Q26" s="12">
        <f t="shared" si="19"/>
        <v>2.7450000000000001</v>
      </c>
      <c r="R26" s="12">
        <v>370.65460000000002</v>
      </c>
      <c r="S26" s="12">
        <f t="shared" ref="S26" si="20">S25+(S21-S20)</f>
        <v>2.8219999999999996</v>
      </c>
      <c r="T26" s="27">
        <v>507.12430000000001</v>
      </c>
      <c r="V26" s="13" t="s">
        <v>17</v>
      </c>
      <c r="W26" s="14" t="s">
        <v>18</v>
      </c>
      <c r="X26" s="24">
        <v>0.1</v>
      </c>
      <c r="Y26" s="11">
        <v>200</v>
      </c>
      <c r="Z26" s="11">
        <v>20</v>
      </c>
      <c r="AA26" s="12">
        <v>3.22</v>
      </c>
      <c r="AB26" s="12">
        <v>257.63749999999999</v>
      </c>
      <c r="AC26" s="12">
        <f t="shared" si="11"/>
        <v>3.3200000000000003</v>
      </c>
      <c r="AD26" s="12">
        <v>377.95839999999998</v>
      </c>
      <c r="AE26" s="12">
        <f t="shared" si="18"/>
        <v>3.4120000000000004</v>
      </c>
      <c r="AF26" s="27">
        <v>523.07979999999998</v>
      </c>
      <c r="AG26" s="13" t="s">
        <v>17</v>
      </c>
      <c r="AH26" s="14" t="s">
        <v>18</v>
      </c>
      <c r="AI26" s="24">
        <v>0.2</v>
      </c>
      <c r="AJ26" s="11">
        <v>200</v>
      </c>
      <c r="AK26" s="11">
        <v>20</v>
      </c>
      <c r="AL26" s="12">
        <v>4.09</v>
      </c>
      <c r="AM26" s="12">
        <v>242.5231</v>
      </c>
      <c r="AN26" s="12">
        <v>4.2949999999999999</v>
      </c>
      <c r="AO26" s="12">
        <v>389.16480000000001</v>
      </c>
      <c r="AP26" s="12">
        <v>4.4059999999999997</v>
      </c>
      <c r="AQ26" s="27">
        <v>520.45349999999996</v>
      </c>
      <c r="AS26" s="13" t="s">
        <v>17</v>
      </c>
      <c r="AT26" s="14" t="s">
        <v>18</v>
      </c>
    </row>
    <row r="27" spans="1:46" x14ac:dyDescent="0.3">
      <c r="A27" s="1">
        <v>200</v>
      </c>
      <c r="B27" s="1">
        <v>25</v>
      </c>
      <c r="C27" s="2">
        <v>10.199999999999999</v>
      </c>
      <c r="D27" s="2">
        <v>249.23249999999999</v>
      </c>
      <c r="E27" s="2">
        <v>10.9</v>
      </c>
      <c r="F27" s="2">
        <v>371.11590000000001</v>
      </c>
      <c r="G27" s="2">
        <v>11.5</v>
      </c>
      <c r="H27" s="2">
        <v>512.10239999999999</v>
      </c>
      <c r="J27" s="15" t="s">
        <v>19</v>
      </c>
      <c r="K27" s="16" t="s">
        <v>20</v>
      </c>
      <c r="L27" s="24">
        <v>0.05</v>
      </c>
      <c r="M27" s="11">
        <v>200</v>
      </c>
      <c r="N27" s="11">
        <v>25</v>
      </c>
      <c r="O27" s="12">
        <v>2.6842000000000006</v>
      </c>
      <c r="P27" s="12">
        <v>249.59010000000001</v>
      </c>
      <c r="Q27" s="12">
        <f t="shared" si="19"/>
        <v>2.7250000000000005</v>
      </c>
      <c r="R27" s="12">
        <v>364.19009999999997</v>
      </c>
      <c r="S27" s="12">
        <v>2.7949999999999999</v>
      </c>
      <c r="T27" s="27">
        <v>505.97969999999998</v>
      </c>
      <c r="V27" s="15" t="s">
        <v>19</v>
      </c>
      <c r="W27" s="16" t="s">
        <v>20</v>
      </c>
      <c r="X27" s="24">
        <v>0.1</v>
      </c>
      <c r="Y27" s="11">
        <v>200</v>
      </c>
      <c r="Z27" s="11">
        <v>25</v>
      </c>
      <c r="AA27" s="12">
        <v>3.2</v>
      </c>
      <c r="AB27" s="12">
        <v>253.51079999999999</v>
      </c>
      <c r="AC27" s="12">
        <f t="shared" si="11"/>
        <v>3.2900000000000005</v>
      </c>
      <c r="AD27" s="12">
        <v>375.19200000000001</v>
      </c>
      <c r="AE27" s="12">
        <f t="shared" si="18"/>
        <v>3.3820000000000006</v>
      </c>
      <c r="AF27" s="27">
        <v>515.13829999999996</v>
      </c>
      <c r="AG27" s="15" t="s">
        <v>19</v>
      </c>
      <c r="AH27" s="16" t="s">
        <v>20</v>
      </c>
      <c r="AI27" s="24">
        <v>0.2</v>
      </c>
      <c r="AJ27" s="11">
        <v>200</v>
      </c>
      <c r="AK27" s="11">
        <v>25</v>
      </c>
      <c r="AL27" s="12">
        <v>4.0880000000000001</v>
      </c>
      <c r="AM27" s="12">
        <v>254.7664</v>
      </c>
      <c r="AN27" s="12">
        <v>4.2450000000000001</v>
      </c>
      <c r="AO27" s="12">
        <v>381.37220000000002</v>
      </c>
      <c r="AP27" s="12">
        <v>4.3849999999999998</v>
      </c>
      <c r="AQ27" s="27">
        <v>518.52459999999996</v>
      </c>
      <c r="AS27" s="15" t="s">
        <v>19</v>
      </c>
      <c r="AT27" s="16" t="s">
        <v>20</v>
      </c>
    </row>
  </sheetData>
  <mergeCells count="21">
    <mergeCell ref="AP1:AQ1"/>
    <mergeCell ref="AS1:AS2"/>
    <mergeCell ref="AT1:AT2"/>
    <mergeCell ref="AA1:AB1"/>
    <mergeCell ref="AC1:AD1"/>
    <mergeCell ref="AE1:AF1"/>
    <mergeCell ref="AJ1:AK1"/>
    <mergeCell ref="AL1:AM1"/>
    <mergeCell ref="AN1:AO1"/>
    <mergeCell ref="Y1:Z1"/>
    <mergeCell ref="A1:B1"/>
    <mergeCell ref="C1:D1"/>
    <mergeCell ref="E1:F1"/>
    <mergeCell ref="G1:H1"/>
    <mergeCell ref="J1:J2"/>
    <mergeCell ref="K1:K2"/>
    <mergeCell ref="M1:N1"/>
    <mergeCell ref="O1:P1"/>
    <mergeCell ref="Q1:R1"/>
    <mergeCell ref="S1:T1"/>
    <mergeCell ref="V1:V2"/>
  </mergeCells>
  <hyperlinks>
    <hyperlink ref="K3" r:id="rId1" xr:uid="{EACB0AA5-E5B3-48E4-9454-6D7290E67E63}"/>
    <hyperlink ref="K4" r:id="rId2" xr:uid="{0D930A6A-CCB0-4B61-AD64-1921857A9D2A}"/>
    <hyperlink ref="K5" r:id="rId3" xr:uid="{99C1B4CB-74D2-4021-98A5-5C139CBD0646}"/>
    <hyperlink ref="K6" r:id="rId4" xr:uid="{DD5F1506-B86D-484C-9D0D-EFFA4C4EC604}"/>
    <hyperlink ref="K7" r:id="rId5" xr:uid="{C21E0E8D-D6BF-478C-80EB-81EFDDEE2D07}"/>
    <hyperlink ref="K23" r:id="rId6" xr:uid="{13BFDC12-944F-4DEC-8A22-FB771084019C}"/>
    <hyperlink ref="K24" r:id="rId7" xr:uid="{EDD9505B-2A10-4034-B2DF-9295A296FD9C}"/>
    <hyperlink ref="K25" r:id="rId8" xr:uid="{E12B1A56-520F-44EA-8EF6-254A65BF6B75}"/>
    <hyperlink ref="K26" r:id="rId9" xr:uid="{A943A14C-CA61-4157-8299-043BE0217D7E}"/>
    <hyperlink ref="K27" r:id="rId10" xr:uid="{7311C009-965C-4EDC-98AC-095EDF2FC60A}"/>
    <hyperlink ref="AT3" r:id="rId11" xr:uid="{412BD7E5-531D-4788-BFB5-562710CAAB5F}"/>
    <hyperlink ref="AT4" r:id="rId12" xr:uid="{D56E2934-C72E-4F52-9C9B-53C9F9852690}"/>
    <hyperlink ref="AT5" r:id="rId13" xr:uid="{4129EEDA-DBF0-4172-9ABF-446775B26E09}"/>
    <hyperlink ref="AT6" r:id="rId14" xr:uid="{72489D3E-2164-46DE-A205-ACBEFA6E466A}"/>
    <hyperlink ref="AT7" r:id="rId15" xr:uid="{B31D1C02-FF51-4CE6-B075-53F7ADD6ABB5}"/>
    <hyperlink ref="AT13" r:id="rId16" xr:uid="{0C4FED42-B715-4499-8928-E662062BA17D}"/>
    <hyperlink ref="AT14" r:id="rId17" xr:uid="{9185A899-F2AF-45F6-A080-55D5549AE2D9}"/>
    <hyperlink ref="AT15" r:id="rId18" xr:uid="{AB3C73A6-E292-45EF-AEB9-506A6EFEF059}"/>
    <hyperlink ref="AT16" r:id="rId19" xr:uid="{58EFAA83-F86E-460E-A13B-A26F240BFA79}"/>
    <hyperlink ref="AT17" r:id="rId20" xr:uid="{DD58A729-9B0A-408C-8B6F-D8B7584DF9F9}"/>
    <hyperlink ref="AT23" r:id="rId21" xr:uid="{76B4A699-9A48-45EA-B1EC-CFCC989E1B6D}"/>
    <hyperlink ref="AT24" r:id="rId22" xr:uid="{9FB93523-DD22-4277-9E2E-703A63C46E25}"/>
    <hyperlink ref="AT25" r:id="rId23" xr:uid="{4898629B-C478-466E-8DA5-07CB5F95931D}"/>
    <hyperlink ref="AT26" r:id="rId24" xr:uid="{476F02C4-1138-4EF1-A929-0EA23FDA006C}"/>
    <hyperlink ref="AT27" r:id="rId25" xr:uid="{ED5EF4F4-BD9F-40B1-95E2-A1A84B861D29}"/>
    <hyperlink ref="AT18" r:id="rId26" xr:uid="{F7D2CD95-5C22-46A3-8A4A-1D25A0C0F169}"/>
    <hyperlink ref="AT19" r:id="rId27" xr:uid="{423F33DD-6E81-49FF-8614-A445EB8BE9F6}"/>
    <hyperlink ref="AT20" r:id="rId28" xr:uid="{C68BEEE3-BE17-465F-96CD-9D20A5CB3C50}"/>
    <hyperlink ref="AT21" r:id="rId29" xr:uid="{6087D68D-82B7-48F0-8A3D-F06BB157DFF7}"/>
    <hyperlink ref="AT22" r:id="rId30" xr:uid="{9A2A7447-201A-4367-88ED-9807330C4656}"/>
    <hyperlink ref="AT8" r:id="rId31" xr:uid="{3BEFAFA1-475A-4F9F-8268-00CD1B52933A}"/>
    <hyperlink ref="AT9" r:id="rId32" xr:uid="{1386DDD5-62CD-43AC-98DF-54A98F52413B}"/>
    <hyperlink ref="AT10" r:id="rId33" xr:uid="{5E96381A-FEFE-4011-97BC-8B22AD99DB17}"/>
    <hyperlink ref="AT11" r:id="rId34" xr:uid="{53ADD7D4-86E9-4552-A7A1-DAAC7F4E36B4}"/>
    <hyperlink ref="AT12" r:id="rId35" xr:uid="{00D0CF07-6F6C-4B94-B09D-16F373C35E18}"/>
    <hyperlink ref="K8" r:id="rId36" xr:uid="{98580E26-B864-4D9C-828A-8A01AAB17CAD}"/>
    <hyperlink ref="K9" r:id="rId37" xr:uid="{2F5A5ACF-5367-48A2-8DAF-1412437A882B}"/>
    <hyperlink ref="K11" r:id="rId38" xr:uid="{C3CA0522-65CC-4658-9C83-ADE8F1029D74}"/>
    <hyperlink ref="K10" r:id="rId39" xr:uid="{2F005CC4-1A45-4D47-B18A-3A11989763FF}"/>
    <hyperlink ref="K12" r:id="rId40" xr:uid="{F8CC9843-7701-4293-B9AF-396BE72999FC}"/>
    <hyperlink ref="K13" r:id="rId41" xr:uid="{F4D85371-674C-418B-9400-4F452BD31348}"/>
    <hyperlink ref="K14" r:id="rId42" xr:uid="{796261D9-355A-4255-940E-230529F87382}"/>
    <hyperlink ref="K15" r:id="rId43" xr:uid="{CED7741B-E909-433F-8134-823F2A745653}"/>
    <hyperlink ref="K16" r:id="rId44" xr:uid="{DD5347DB-5D69-4604-9160-D21B4490E340}"/>
    <hyperlink ref="K17" r:id="rId45" xr:uid="{492108ED-1242-474E-B22E-C93EBD8BF1C8}"/>
    <hyperlink ref="K18" r:id="rId46" xr:uid="{94516EFA-74AD-441C-AD78-DAE2A819E22A}"/>
    <hyperlink ref="K19" r:id="rId47" xr:uid="{D94F7491-385F-4810-A8B5-699702993AAF}"/>
    <hyperlink ref="K21" r:id="rId48" xr:uid="{584E42EA-E829-4CF2-89FA-8A1B5E8137B8}"/>
    <hyperlink ref="K20" r:id="rId49" xr:uid="{EE697F9E-6EB1-4526-80DB-8C1AC6457D0B}"/>
    <hyperlink ref="K22" r:id="rId50" xr:uid="{CAF04796-4F98-43E1-B9AE-FA805A6D5F47}"/>
    <hyperlink ref="W3" r:id="rId51" xr:uid="{C867094E-D4D7-48F1-9BCB-36645C13F95D}"/>
    <hyperlink ref="W4" r:id="rId52" xr:uid="{0694A04D-4912-4A19-AACE-8F82995E537B}"/>
    <hyperlink ref="W5" r:id="rId53" xr:uid="{49CADBC3-7027-4CA2-A0FF-B738114E590C}"/>
    <hyperlink ref="W6" r:id="rId54" xr:uid="{7041FD3E-AB42-4057-BF7C-CC4F9967FE00}"/>
    <hyperlink ref="W7" r:id="rId55" xr:uid="{BD0E2928-FAF5-416B-8E07-C4FE3F75A71E}"/>
    <hyperlink ref="W23" r:id="rId56" xr:uid="{A9C42C85-28A5-4033-A2AD-F433026A72FD}"/>
    <hyperlink ref="W24" r:id="rId57" xr:uid="{852C451C-C5C1-47E7-ABAD-C21B4BE092DF}"/>
    <hyperlink ref="W25" r:id="rId58" xr:uid="{5E7C45DA-FFD6-40F0-9200-7BED80CC9B56}"/>
    <hyperlink ref="W26" r:id="rId59" xr:uid="{C8186280-6817-4748-BFE4-76907308924B}"/>
    <hyperlink ref="W27" r:id="rId60" xr:uid="{6695AA8D-C6DB-4B43-9AC7-941E6CDED33E}"/>
    <hyperlink ref="W8" r:id="rId61" xr:uid="{4CB2155E-215E-403E-ADB7-BC56E67F2FC8}"/>
    <hyperlink ref="W9" r:id="rId62" xr:uid="{697B7D12-F33D-4CCB-9FA4-76A0103C52FE}"/>
    <hyperlink ref="W11" r:id="rId63" xr:uid="{994C57E2-02A0-45A5-B06A-50707E097FC1}"/>
    <hyperlink ref="W10" r:id="rId64" xr:uid="{66210D31-DB32-46E4-8339-80D8D1843BFC}"/>
    <hyperlink ref="W12" r:id="rId65" xr:uid="{F19407D9-2A6A-4EED-A9ED-6CD19778464C}"/>
    <hyperlink ref="W13" r:id="rId66" xr:uid="{9571E555-B907-4396-96A1-0B471C5B014C}"/>
    <hyperlink ref="W14" r:id="rId67" xr:uid="{55928CFE-D90F-4106-A8A6-A26EA7E124F3}"/>
    <hyperlink ref="W15" r:id="rId68" xr:uid="{77B1CC7A-D2E6-4632-8DC7-1711DB3837FC}"/>
    <hyperlink ref="W16" r:id="rId69" xr:uid="{9D9A2F13-F3C4-4743-AADF-813E5D13AC39}"/>
    <hyperlink ref="W17" r:id="rId70" xr:uid="{E2E1ECD7-934C-4F33-83A2-79C039BA4626}"/>
    <hyperlink ref="W18" r:id="rId71" xr:uid="{EB45AC7A-3130-4491-9C0E-660D85B2845F}"/>
    <hyperlink ref="W19" r:id="rId72" xr:uid="{E6D76CA7-56F0-4E1A-BB85-FE4F91D6A21A}"/>
    <hyperlink ref="W21" r:id="rId73" xr:uid="{BE3CBFF0-7C29-4CBB-BBE0-E434C2B7AD58}"/>
    <hyperlink ref="W20" r:id="rId74" xr:uid="{6C0FE257-8064-4566-AEFF-89F9B009C9D1}"/>
    <hyperlink ref="W22" r:id="rId75" xr:uid="{8EAAF5B3-6B30-479A-B455-8018258DE5B0}"/>
    <hyperlink ref="AH8" r:id="rId76" xr:uid="{C0DB2955-9409-4A62-8A57-80B721B27567}"/>
    <hyperlink ref="AH9" r:id="rId77" xr:uid="{914DCF8A-3D94-4A33-9DB0-2879037856C0}"/>
    <hyperlink ref="AH11" r:id="rId78" xr:uid="{BBF4C797-3E67-4627-AF8B-2515C2A1306A}"/>
    <hyperlink ref="AH10" r:id="rId79" xr:uid="{892B42D4-98A5-40C6-8705-F97BE6476774}"/>
    <hyperlink ref="AH12" r:id="rId80" xr:uid="{A9901264-47BC-4A2F-AE1A-69489B0AA865}"/>
    <hyperlink ref="AH3" r:id="rId81" xr:uid="{B34B6CC7-C8D2-48D3-A21B-272F97C0BDCB}"/>
    <hyperlink ref="AH4" r:id="rId82" xr:uid="{0ED3920E-B4AE-4D00-89BB-F41B77144FC8}"/>
    <hyperlink ref="AH5" r:id="rId83" xr:uid="{4874CF17-0719-4E49-BC62-7A6A64F11504}"/>
    <hyperlink ref="AH6" r:id="rId84" xr:uid="{2904EFAF-0324-45E9-B858-11FDE1A84055}"/>
    <hyperlink ref="AH7" r:id="rId85" xr:uid="{FB8CFED7-9CB5-40E2-90AA-A70C7A527682}"/>
    <hyperlink ref="AH18" r:id="rId86" xr:uid="{813A8AC8-2BF4-45B3-B719-BA865657EB80}"/>
    <hyperlink ref="AH19" r:id="rId87" xr:uid="{8929C390-DB96-4DAE-87C5-159C760D2C8B}"/>
    <hyperlink ref="AH21" r:id="rId88" xr:uid="{E240845D-5815-44EE-96BC-57A56D08B719}"/>
    <hyperlink ref="AH20" r:id="rId89" xr:uid="{F734C3B5-05FB-49D8-BC7D-72B678630EFB}"/>
    <hyperlink ref="AH22" r:id="rId90" xr:uid="{ED69BD80-52E5-4A60-BFCF-9A52517E0A85}"/>
    <hyperlink ref="AH13" r:id="rId91" xr:uid="{E7CE3AA7-EB95-4303-A936-886EE3E9EA5D}"/>
    <hyperlink ref="AH14" r:id="rId92" xr:uid="{68527AFF-1219-4813-B6A4-67348CC79D43}"/>
    <hyperlink ref="AH15" r:id="rId93" xr:uid="{7463CD22-9FE2-493B-AC48-E768447116B2}"/>
    <hyperlink ref="AH16" r:id="rId94" xr:uid="{BB28C0F5-900C-408A-B4E4-BD83132CF55F}"/>
    <hyperlink ref="AH17" r:id="rId95" xr:uid="{BABDC0F6-5A09-45D7-BE43-6B2FF561F556}"/>
    <hyperlink ref="AH23" r:id="rId96" xr:uid="{CECBCB80-AE48-474D-A8A5-8F953961E967}"/>
    <hyperlink ref="AH24" r:id="rId97" xr:uid="{3CBED7A9-9E49-47AA-A7A0-73EF200AA426}"/>
    <hyperlink ref="AH25" r:id="rId98" xr:uid="{7097BA8D-FDA5-4023-82D0-7BDFB8059EFC}"/>
    <hyperlink ref="AH26" r:id="rId99" xr:uid="{A70858A5-C7FD-4DA8-98E5-8A583642A134}"/>
    <hyperlink ref="AH27" r:id="rId100" xr:uid="{FD0E1173-74B4-4236-BDB4-57F5756E6F6C}"/>
  </hyperlinks>
  <pageMargins left="0.7" right="0.7" top="0.75" bottom="0.75" header="0.3" footer="0.3"/>
  <pageSetup orientation="portrait" r:id="rId10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847E-B169-445A-9266-73A38138E6A6}">
  <sheetPr filterMode="1"/>
  <dimension ref="A1:AE226"/>
  <sheetViews>
    <sheetView workbookViewId="0">
      <selection activeCell="E57" sqref="E57"/>
    </sheetView>
  </sheetViews>
  <sheetFormatPr defaultRowHeight="14.4" x14ac:dyDescent="0.3"/>
  <cols>
    <col min="1" max="1" width="8.88671875" style="5"/>
    <col min="2" max="3" width="8.88671875" style="37"/>
    <col min="4" max="5" width="8.88671875" style="22"/>
    <col min="13" max="13" width="17.44140625" bestFit="1" customWidth="1"/>
  </cols>
  <sheetData>
    <row r="1" spans="1:28" x14ac:dyDescent="0.3">
      <c r="A1" s="18" t="s">
        <v>31</v>
      </c>
      <c r="B1" s="17" t="s">
        <v>3</v>
      </c>
      <c r="C1" s="17" t="s">
        <v>4</v>
      </c>
      <c r="D1" s="4" t="s">
        <v>6</v>
      </c>
      <c r="E1" s="4" t="s">
        <v>5</v>
      </c>
      <c r="F1" s="2" t="s">
        <v>58</v>
      </c>
    </row>
    <row r="2" spans="1:28" x14ac:dyDescent="0.3">
      <c r="A2" s="18">
        <v>0.05</v>
      </c>
      <c r="B2" s="17">
        <v>100</v>
      </c>
      <c r="C2" s="17">
        <v>5</v>
      </c>
      <c r="D2" s="19">
        <v>239.3236</v>
      </c>
      <c r="E2" s="19">
        <v>2.6658000000000004</v>
      </c>
      <c r="F2" s="38">
        <f>(E2-2)/(2*SQRT(A2/(2-A2)))</f>
        <v>2.0789598336668278</v>
      </c>
    </row>
    <row r="3" spans="1:28" hidden="1" x14ac:dyDescent="0.3">
      <c r="A3" s="18">
        <v>0.05</v>
      </c>
      <c r="B3" s="17">
        <v>100</v>
      </c>
      <c r="C3" s="17">
        <v>10</v>
      </c>
      <c r="D3" s="19">
        <v>257.88720000000001</v>
      </c>
      <c r="E3" s="19">
        <v>2.6549999999999998</v>
      </c>
      <c r="F3" s="38">
        <f t="shared" ref="F3:F66" si="0">(E3-2)/(2*SQRT(A3/(2-A3)))</f>
        <v>2.0452368444754749</v>
      </c>
    </row>
    <row r="4" spans="1:28" hidden="1" x14ac:dyDescent="0.3">
      <c r="A4" s="18">
        <v>0.05</v>
      </c>
      <c r="B4" s="17">
        <v>100</v>
      </c>
      <c r="C4" s="17">
        <v>15</v>
      </c>
      <c r="D4" s="19">
        <v>260.31630000000001</v>
      </c>
      <c r="E4" s="19">
        <v>2.6349999999999998</v>
      </c>
      <c r="F4" s="38">
        <f t="shared" si="0"/>
        <v>1.9827868644914908</v>
      </c>
      <c r="M4" t="s">
        <v>34</v>
      </c>
      <c r="W4" t="s">
        <v>34</v>
      </c>
    </row>
    <row r="5" spans="1:28" hidden="1" x14ac:dyDescent="0.3">
      <c r="A5" s="18">
        <v>0.05</v>
      </c>
      <c r="B5" s="17">
        <v>100</v>
      </c>
      <c r="C5" s="17">
        <v>20</v>
      </c>
      <c r="D5" s="19">
        <v>255.09710000000001</v>
      </c>
      <c r="E5" s="19">
        <v>2.6100000000000003</v>
      </c>
      <c r="F5" s="38">
        <f t="shared" si="0"/>
        <v>1.9047243895115125</v>
      </c>
    </row>
    <row r="6" spans="1:28" hidden="1" x14ac:dyDescent="0.3">
      <c r="A6" s="18">
        <v>0.05</v>
      </c>
      <c r="B6" s="17">
        <v>100</v>
      </c>
      <c r="C6" s="17">
        <v>25</v>
      </c>
      <c r="D6" s="19">
        <v>255.51</v>
      </c>
      <c r="E6" s="19">
        <v>2.585</v>
      </c>
      <c r="F6" s="38">
        <f t="shared" si="0"/>
        <v>1.8266619145315315</v>
      </c>
      <c r="M6" s="33" t="s">
        <v>35</v>
      </c>
      <c r="N6" s="33"/>
      <c r="W6" s="33" t="s">
        <v>35</v>
      </c>
      <c r="X6" s="33"/>
    </row>
    <row r="7" spans="1:28" x14ac:dyDescent="0.3">
      <c r="A7" s="18">
        <v>0.05</v>
      </c>
      <c r="B7" s="17">
        <v>125</v>
      </c>
      <c r="C7" s="17">
        <v>5</v>
      </c>
      <c r="D7" s="19">
        <v>254.2295</v>
      </c>
      <c r="E7" s="19">
        <v>2.6958000000000002</v>
      </c>
      <c r="F7" s="38">
        <f t="shared" si="0"/>
        <v>2.1726348036428034</v>
      </c>
      <c r="M7" t="s">
        <v>36</v>
      </c>
      <c r="N7">
        <v>0.99667706782098697</v>
      </c>
      <c r="W7" t="s">
        <v>36</v>
      </c>
      <c r="X7">
        <v>0.98649223252347018</v>
      </c>
    </row>
    <row r="8" spans="1:28" hidden="1" x14ac:dyDescent="0.3">
      <c r="A8" s="18">
        <v>0.05</v>
      </c>
      <c r="B8" s="17">
        <v>125</v>
      </c>
      <c r="C8" s="17">
        <v>10</v>
      </c>
      <c r="D8" s="19">
        <v>250.1463</v>
      </c>
      <c r="E8" s="19">
        <v>2.6850000000000001</v>
      </c>
      <c r="F8" s="38">
        <f t="shared" si="0"/>
        <v>2.1389118144514514</v>
      </c>
      <c r="M8" t="s">
        <v>37</v>
      </c>
      <c r="N8">
        <v>0.99336517752024023</v>
      </c>
      <c r="W8" t="s">
        <v>37</v>
      </c>
      <c r="X8">
        <v>0.97316692482914036</v>
      </c>
    </row>
    <row r="9" spans="1:28" hidden="1" x14ac:dyDescent="0.3">
      <c r="A9" s="18">
        <v>0.05</v>
      </c>
      <c r="B9" s="17">
        <v>125</v>
      </c>
      <c r="C9" s="17">
        <v>15</v>
      </c>
      <c r="D9" s="19">
        <v>254.26179999999999</v>
      </c>
      <c r="E9" s="19">
        <v>2.6649999999999996</v>
      </c>
      <c r="F9" s="38">
        <f t="shared" si="0"/>
        <v>2.0764618344674663</v>
      </c>
      <c r="M9" t="s">
        <v>38</v>
      </c>
      <c r="N9">
        <v>0.99324454438424459</v>
      </c>
      <c r="W9" t="s">
        <v>38</v>
      </c>
      <c r="X9">
        <v>0.97267905073512473</v>
      </c>
    </row>
    <row r="10" spans="1:28" hidden="1" x14ac:dyDescent="0.3">
      <c r="A10" s="18">
        <v>0.05</v>
      </c>
      <c r="B10" s="17">
        <v>125</v>
      </c>
      <c r="C10" s="17">
        <v>20</v>
      </c>
      <c r="D10" s="19">
        <v>248.1943</v>
      </c>
      <c r="E10" s="19">
        <v>2.64</v>
      </c>
      <c r="F10" s="38">
        <f t="shared" si="0"/>
        <v>1.9983993594874878</v>
      </c>
      <c r="M10" t="s">
        <v>39</v>
      </c>
      <c r="N10">
        <v>5.1456970473103124E-2</v>
      </c>
      <c r="W10" t="s">
        <v>39</v>
      </c>
      <c r="X10">
        <v>7.9094036117511535E-2</v>
      </c>
    </row>
    <row r="11" spans="1:28" ht="15" hidden="1" thickBot="1" x14ac:dyDescent="0.35">
      <c r="A11" s="18">
        <v>0.05</v>
      </c>
      <c r="B11" s="17">
        <v>125</v>
      </c>
      <c r="C11" s="17">
        <v>25</v>
      </c>
      <c r="D11" s="19">
        <v>248.02160000000001</v>
      </c>
      <c r="E11" s="19">
        <v>2.6149999999999998</v>
      </c>
      <c r="F11" s="38">
        <f t="shared" si="0"/>
        <v>1.9203368845075068</v>
      </c>
      <c r="M11" s="31" t="s">
        <v>40</v>
      </c>
      <c r="N11" s="31">
        <v>225</v>
      </c>
      <c r="W11" s="31" t="s">
        <v>40</v>
      </c>
      <c r="X11" s="31">
        <v>225</v>
      </c>
    </row>
    <row r="12" spans="1:28" x14ac:dyDescent="0.3">
      <c r="A12" s="18">
        <v>0.05</v>
      </c>
      <c r="B12" s="17">
        <v>150</v>
      </c>
      <c r="C12" s="17">
        <v>5</v>
      </c>
      <c r="D12" s="19">
        <v>255.84569999999999</v>
      </c>
      <c r="E12" s="19">
        <v>2.7150000000000003</v>
      </c>
      <c r="F12" s="38">
        <f t="shared" si="0"/>
        <v>2.2325867844274283</v>
      </c>
    </row>
    <row r="13" spans="1:28" hidden="1" x14ac:dyDescent="0.3">
      <c r="A13" s="18">
        <v>0.05</v>
      </c>
      <c r="B13" s="17">
        <v>150</v>
      </c>
      <c r="C13" s="17">
        <v>10</v>
      </c>
      <c r="D13" s="19">
        <v>259.28550000000001</v>
      </c>
      <c r="E13" s="19">
        <v>2.7050000000000001</v>
      </c>
      <c r="F13" s="38">
        <f t="shared" si="0"/>
        <v>2.2013617944354356</v>
      </c>
      <c r="M13" t="s">
        <v>41</v>
      </c>
      <c r="W13" t="s">
        <v>41</v>
      </c>
    </row>
    <row r="14" spans="1:28" hidden="1" x14ac:dyDescent="0.3">
      <c r="A14" s="18">
        <v>0.05</v>
      </c>
      <c r="B14" s="17">
        <v>150</v>
      </c>
      <c r="C14" s="17">
        <v>15</v>
      </c>
      <c r="D14" s="19">
        <v>240.53360000000001</v>
      </c>
      <c r="E14" s="19">
        <v>2.6799999999999997</v>
      </c>
      <c r="F14" s="38">
        <f t="shared" si="0"/>
        <v>2.1232993194554544</v>
      </c>
      <c r="M14" s="32"/>
      <c r="N14" s="32" t="s">
        <v>46</v>
      </c>
      <c r="O14" s="32" t="s">
        <v>47</v>
      </c>
      <c r="P14" s="32" t="s">
        <v>48</v>
      </c>
      <c r="Q14" s="32" t="s">
        <v>49</v>
      </c>
      <c r="R14" s="32" t="s">
        <v>50</v>
      </c>
      <c r="W14" s="32"/>
      <c r="X14" s="32" t="s">
        <v>46</v>
      </c>
      <c r="Y14" s="32" t="s">
        <v>47</v>
      </c>
      <c r="Z14" s="32" t="s">
        <v>48</v>
      </c>
      <c r="AA14" s="32" t="s">
        <v>49</v>
      </c>
      <c r="AB14" s="32" t="s">
        <v>50</v>
      </c>
    </row>
    <row r="15" spans="1:28" hidden="1" x14ac:dyDescent="0.3">
      <c r="A15" s="18">
        <v>0.05</v>
      </c>
      <c r="B15" s="17">
        <v>150</v>
      </c>
      <c r="C15" s="17">
        <v>20</v>
      </c>
      <c r="D15" s="19">
        <v>242.08600000000001</v>
      </c>
      <c r="E15" s="19">
        <v>2.66</v>
      </c>
      <c r="F15" s="38">
        <f t="shared" si="0"/>
        <v>2.060849339471472</v>
      </c>
      <c r="M15" t="s">
        <v>42</v>
      </c>
      <c r="N15">
        <v>4</v>
      </c>
      <c r="O15">
        <v>87.214909043416853</v>
      </c>
      <c r="P15">
        <v>21.803727260854213</v>
      </c>
      <c r="Q15">
        <v>8234.5963181809057</v>
      </c>
      <c r="R15">
        <v>2.7776777560751734E-238</v>
      </c>
      <c r="W15" t="s">
        <v>42</v>
      </c>
      <c r="X15">
        <v>4</v>
      </c>
      <c r="Y15">
        <v>49.914537268177703</v>
      </c>
      <c r="Z15">
        <v>12.478634317044426</v>
      </c>
      <c r="AA15">
        <v>1994.7091611672233</v>
      </c>
      <c r="AB15">
        <v>1.5394563844088774E-171</v>
      </c>
    </row>
    <row r="16" spans="1:28" hidden="1" x14ac:dyDescent="0.3">
      <c r="A16" s="18">
        <v>0.05</v>
      </c>
      <c r="B16" s="17">
        <v>150</v>
      </c>
      <c r="C16" s="17">
        <v>25</v>
      </c>
      <c r="D16" s="19">
        <v>238.17179999999999</v>
      </c>
      <c r="E16" s="19">
        <v>2.64</v>
      </c>
      <c r="F16" s="38">
        <f t="shared" si="0"/>
        <v>1.9983993594874878</v>
      </c>
      <c r="M16" t="s">
        <v>43</v>
      </c>
      <c r="N16">
        <v>220</v>
      </c>
      <c r="O16">
        <v>0.58252035825935744</v>
      </c>
      <c r="P16">
        <v>2.6478198102698066E-3</v>
      </c>
      <c r="W16" t="s">
        <v>43</v>
      </c>
      <c r="X16">
        <v>220</v>
      </c>
      <c r="Y16">
        <v>1.3762906408588083</v>
      </c>
      <c r="Z16">
        <v>6.2558665493582192E-3</v>
      </c>
    </row>
    <row r="17" spans="1:31" ht="15" thickBot="1" x14ac:dyDescent="0.35">
      <c r="A17" s="18">
        <v>0.05</v>
      </c>
      <c r="B17" s="17">
        <v>175</v>
      </c>
      <c r="C17" s="17">
        <v>5</v>
      </c>
      <c r="D17" s="19">
        <v>254.31049999999999</v>
      </c>
      <c r="E17" s="19">
        <v>2.7342000000000004</v>
      </c>
      <c r="F17" s="38">
        <f t="shared" si="0"/>
        <v>2.2925387652120532</v>
      </c>
      <c r="M17" s="31" t="s">
        <v>44</v>
      </c>
      <c r="N17" s="31">
        <v>224</v>
      </c>
      <c r="O17" s="31">
        <v>87.797429401676212</v>
      </c>
      <c r="P17" s="31"/>
      <c r="Q17" s="31"/>
      <c r="R17" s="31"/>
      <c r="W17" s="31" t="s">
        <v>44</v>
      </c>
      <c r="X17" s="31">
        <v>224</v>
      </c>
      <c r="Y17" s="31">
        <v>51.290827909036508</v>
      </c>
      <c r="Z17" s="31"/>
      <c r="AA17" s="31"/>
      <c r="AB17" s="31"/>
    </row>
    <row r="18" spans="1:31" hidden="1" x14ac:dyDescent="0.3">
      <c r="A18" s="18">
        <v>0.05</v>
      </c>
      <c r="B18" s="17">
        <v>175</v>
      </c>
      <c r="C18" s="17">
        <v>10</v>
      </c>
      <c r="D18" s="19">
        <v>260.57409999999999</v>
      </c>
      <c r="E18" s="19">
        <v>2.7250000000000001</v>
      </c>
      <c r="F18" s="38">
        <f t="shared" si="0"/>
        <v>2.2638117744194197</v>
      </c>
    </row>
    <row r="19" spans="1:31" hidden="1" x14ac:dyDescent="0.3">
      <c r="A19" s="18">
        <v>0.05</v>
      </c>
      <c r="B19" s="17">
        <v>175</v>
      </c>
      <c r="C19" s="17">
        <v>15</v>
      </c>
      <c r="D19" s="19">
        <v>237.21170000000001</v>
      </c>
      <c r="E19" s="19">
        <v>2.6949999999999998</v>
      </c>
      <c r="F19" s="38">
        <f t="shared" si="0"/>
        <v>2.1701368044434428</v>
      </c>
      <c r="M19" s="32"/>
      <c r="N19" s="32" t="s">
        <v>51</v>
      </c>
      <c r="O19" s="32" t="s">
        <v>39</v>
      </c>
      <c r="P19" s="32" t="s">
        <v>52</v>
      </c>
      <c r="Q19" s="32" t="s">
        <v>53</v>
      </c>
      <c r="R19" s="32" t="s">
        <v>54</v>
      </c>
      <c r="S19" s="32" t="s">
        <v>55</v>
      </c>
      <c r="T19" s="32" t="s">
        <v>56</v>
      </c>
      <c r="U19" s="32" t="s">
        <v>57</v>
      </c>
      <c r="W19" s="32"/>
      <c r="X19" s="32" t="s">
        <v>51</v>
      </c>
      <c r="Y19" s="32" t="s">
        <v>39</v>
      </c>
      <c r="Z19" s="32" t="s">
        <v>52</v>
      </c>
      <c r="AA19" s="32" t="s">
        <v>53</v>
      </c>
      <c r="AB19" s="32" t="s">
        <v>54</v>
      </c>
      <c r="AC19" s="32" t="s">
        <v>55</v>
      </c>
      <c r="AD19" s="32" t="s">
        <v>56</v>
      </c>
      <c r="AE19" s="32" t="s">
        <v>57</v>
      </c>
    </row>
    <row r="20" spans="1:31" hidden="1" x14ac:dyDescent="0.3">
      <c r="A20" s="18">
        <v>0.05</v>
      </c>
      <c r="B20" s="17">
        <v>175</v>
      </c>
      <c r="C20" s="17">
        <v>20</v>
      </c>
      <c r="D20" s="19">
        <v>246.1019</v>
      </c>
      <c r="E20" s="19">
        <v>2.68</v>
      </c>
      <c r="F20" s="38">
        <f t="shared" si="0"/>
        <v>2.1232993194554561</v>
      </c>
      <c r="M20" t="s">
        <v>45</v>
      </c>
      <c r="N20" s="35">
        <v>1.8663752602257175</v>
      </c>
      <c r="O20" s="35">
        <v>2.1584122437678974E-2</v>
      </c>
      <c r="P20" s="35">
        <v>86.469823622183654</v>
      </c>
      <c r="Q20" s="35">
        <v>8.0801123093656528E-172</v>
      </c>
      <c r="R20" s="35">
        <v>1.8238371510188194</v>
      </c>
      <c r="S20" s="35">
        <v>1.9089133694326157</v>
      </c>
      <c r="T20" s="35">
        <v>1.8238371510188194</v>
      </c>
      <c r="U20" s="35">
        <v>1.9089133694326157</v>
      </c>
      <c r="W20" t="s">
        <v>45</v>
      </c>
      <c r="X20" s="35">
        <v>1.2183374665667976</v>
      </c>
      <c r="Y20" s="35">
        <v>3.3176756112039733E-2</v>
      </c>
      <c r="Z20" s="35">
        <v>36.722621779308525</v>
      </c>
      <c r="AA20" s="35">
        <v>8.4019064925590008E-96</v>
      </c>
      <c r="AB20" s="35">
        <v>1.1529525300839998</v>
      </c>
      <c r="AC20" s="35">
        <v>1.2837224030495955</v>
      </c>
      <c r="AD20" s="35">
        <v>1.1529525300839998</v>
      </c>
      <c r="AE20" s="35">
        <v>1.2837224030495955</v>
      </c>
    </row>
    <row r="21" spans="1:31" hidden="1" x14ac:dyDescent="0.3">
      <c r="A21" s="18">
        <v>0.05</v>
      </c>
      <c r="B21" s="17">
        <v>175</v>
      </c>
      <c r="C21" s="17">
        <v>25</v>
      </c>
      <c r="D21" s="19">
        <v>243.2818</v>
      </c>
      <c r="E21" s="19">
        <v>2.6650000000000005</v>
      </c>
      <c r="F21" s="38">
        <f t="shared" si="0"/>
        <v>2.076461834467469</v>
      </c>
      <c r="M21" t="s">
        <v>31</v>
      </c>
      <c r="N21" s="35">
        <v>9.8279502611503915</v>
      </c>
      <c r="O21" s="35">
        <v>5.5010052532916215E-2</v>
      </c>
      <c r="P21" s="35">
        <v>178.65735094998624</v>
      </c>
      <c r="Q21" s="35">
        <v>4.2215076420793024E-240</v>
      </c>
      <c r="R21" s="35">
        <v>9.7195361419811324</v>
      </c>
      <c r="S21" s="35">
        <v>9.9363643803196506</v>
      </c>
      <c r="T21" s="35">
        <v>9.7195361419811324</v>
      </c>
      <c r="U21" s="35">
        <v>9.9363643803196506</v>
      </c>
      <c r="W21" t="s">
        <v>31</v>
      </c>
      <c r="X21" s="35">
        <v>6.6831962110012739</v>
      </c>
      <c r="Y21" s="35">
        <v>8.4555445877618443E-2</v>
      </c>
      <c r="Z21" s="35">
        <v>79.039216713187415</v>
      </c>
      <c r="AA21" s="35">
        <v>1.6803547674374619E-163</v>
      </c>
      <c r="AB21" s="35">
        <v>6.5165538653990644</v>
      </c>
      <c r="AC21" s="35">
        <v>6.8498385566034834</v>
      </c>
      <c r="AD21" s="35">
        <v>6.5165538653990644</v>
      </c>
      <c r="AE21" s="35">
        <v>6.8498385566034834</v>
      </c>
    </row>
    <row r="22" spans="1:31" x14ac:dyDescent="0.3">
      <c r="A22" s="18">
        <v>0.05</v>
      </c>
      <c r="B22" s="17">
        <v>200</v>
      </c>
      <c r="C22" s="17">
        <v>5</v>
      </c>
      <c r="D22" s="19">
        <v>262.91849999999999</v>
      </c>
      <c r="E22" s="19">
        <v>2.7450000000000001</v>
      </c>
      <c r="F22" s="38">
        <f t="shared" si="0"/>
        <v>2.3262617544034039</v>
      </c>
      <c r="M22" t="s">
        <v>3</v>
      </c>
      <c r="N22" s="35">
        <v>1.3958728224828095E-3</v>
      </c>
      <c r="O22" s="35">
        <v>9.703495288506055E-5</v>
      </c>
      <c r="P22" s="35">
        <v>14.385257899143241</v>
      </c>
      <c r="Q22" s="35">
        <v>1.6295670625520589E-33</v>
      </c>
      <c r="R22" s="35">
        <v>1.2046357946801269E-3</v>
      </c>
      <c r="S22" s="35">
        <v>1.5871098502854921E-3</v>
      </c>
      <c r="T22" s="35">
        <v>1.2046357946801269E-3</v>
      </c>
      <c r="U22" s="35">
        <v>1.5871098502854921E-3</v>
      </c>
      <c r="W22" t="s">
        <v>3</v>
      </c>
      <c r="X22" s="35">
        <v>2.8449356987151216E-3</v>
      </c>
      <c r="Y22" s="35">
        <v>1.4915153374922685E-4</v>
      </c>
      <c r="Z22" s="35">
        <v>19.074129693486096</v>
      </c>
      <c r="AA22" s="35">
        <v>1.6120028822487323E-48</v>
      </c>
      <c r="AB22" s="35">
        <v>2.5509870218893603E-3</v>
      </c>
      <c r="AC22" s="35">
        <v>3.1388843755408829E-3</v>
      </c>
      <c r="AD22" s="35">
        <v>2.5509870218893603E-3</v>
      </c>
      <c r="AE22" s="35">
        <v>3.1388843755408829E-3</v>
      </c>
    </row>
    <row r="23" spans="1:31" hidden="1" x14ac:dyDescent="0.3">
      <c r="A23" s="18">
        <v>0.05</v>
      </c>
      <c r="B23" s="17">
        <v>200</v>
      </c>
      <c r="C23" s="17">
        <v>10</v>
      </c>
      <c r="D23" s="19">
        <v>259.94540000000001</v>
      </c>
      <c r="E23" s="19">
        <v>2.7330000000000001</v>
      </c>
      <c r="F23" s="38">
        <f t="shared" si="0"/>
        <v>2.2887917664130133</v>
      </c>
      <c r="M23" t="s">
        <v>4</v>
      </c>
      <c r="N23" s="35">
        <v>-7.0806240373139798E-3</v>
      </c>
      <c r="O23" s="35">
        <v>4.851446430052065E-4</v>
      </c>
      <c r="P23" s="35">
        <v>-14.594872146692943</v>
      </c>
      <c r="Q23" s="35">
        <v>3.4196131645193447E-34</v>
      </c>
      <c r="R23" s="35">
        <v>-8.0367498128642162E-3</v>
      </c>
      <c r="S23" s="35">
        <v>-6.1244982617637425E-3</v>
      </c>
      <c r="T23" s="35">
        <v>-8.0367498128642162E-3</v>
      </c>
      <c r="U23" s="35">
        <v>-6.1244982617637425E-3</v>
      </c>
      <c r="W23" t="s">
        <v>4</v>
      </c>
      <c r="X23" s="35">
        <v>-1.4308790092399826E-2</v>
      </c>
      <c r="Y23" s="35">
        <v>7.4571136938829993E-4</v>
      </c>
      <c r="Z23" s="35">
        <v>-19.18810773146344</v>
      </c>
      <c r="AA23" s="35">
        <v>7.0938624827357291E-49</v>
      </c>
      <c r="AB23" s="35">
        <v>-1.5778442229495291E-2</v>
      </c>
      <c r="AC23" s="35">
        <v>-1.2839137955304362E-2</v>
      </c>
      <c r="AD23" s="35">
        <v>-1.5778442229495291E-2</v>
      </c>
      <c r="AE23" s="35">
        <v>-1.2839137955304362E-2</v>
      </c>
    </row>
    <row r="24" spans="1:31" ht="15" hidden="1" thickBot="1" x14ac:dyDescent="0.35">
      <c r="A24" s="18">
        <v>0.05</v>
      </c>
      <c r="B24" s="17">
        <v>200</v>
      </c>
      <c r="C24" s="17">
        <v>15</v>
      </c>
      <c r="D24" s="19">
        <v>251.07689999999999</v>
      </c>
      <c r="E24" s="19">
        <v>2.7141999999999999</v>
      </c>
      <c r="F24" s="38">
        <f t="shared" si="0"/>
        <v>2.2300887852280677</v>
      </c>
      <c r="M24" s="31" t="s">
        <v>6</v>
      </c>
      <c r="N24" s="36">
        <v>7.8207878891774598E-4</v>
      </c>
      <c r="O24" s="36">
        <v>3.278172121574067E-5</v>
      </c>
      <c r="P24" s="36">
        <v>23.85716063445193</v>
      </c>
      <c r="Q24" s="36">
        <v>6.0053178615021462E-63</v>
      </c>
      <c r="R24" s="36">
        <v>7.1747238941776152E-4</v>
      </c>
      <c r="S24" s="36">
        <v>8.4668518841773044E-4</v>
      </c>
      <c r="T24" s="36">
        <v>7.1747238941776152E-4</v>
      </c>
      <c r="U24" s="36">
        <v>8.4668518841773044E-4</v>
      </c>
      <c r="W24" s="31" t="s">
        <v>6</v>
      </c>
      <c r="X24" s="36">
        <v>1.5737546283884946E-3</v>
      </c>
      <c r="Y24" s="36">
        <v>5.0388482221029302E-5</v>
      </c>
      <c r="Z24" s="36">
        <v>31.232427710070983</v>
      </c>
      <c r="AA24" s="36">
        <v>8.1548453874196819E-83</v>
      </c>
      <c r="AB24" s="36">
        <v>1.474448725835503E-3</v>
      </c>
      <c r="AC24" s="36">
        <v>1.6730605309414862E-3</v>
      </c>
      <c r="AD24" s="36">
        <v>1.474448725835503E-3</v>
      </c>
      <c r="AE24" s="36">
        <v>1.6730605309414862E-3</v>
      </c>
    </row>
    <row r="25" spans="1:31" hidden="1" x14ac:dyDescent="0.3">
      <c r="A25" s="18">
        <v>0.05</v>
      </c>
      <c r="B25" s="17">
        <v>200</v>
      </c>
      <c r="C25" s="17">
        <v>20</v>
      </c>
      <c r="D25" s="19">
        <v>254.1935</v>
      </c>
      <c r="E25" s="19">
        <v>2.6992000000000003</v>
      </c>
      <c r="F25" s="38">
        <f t="shared" si="0"/>
        <v>2.1832513002400811</v>
      </c>
    </row>
    <row r="26" spans="1:31" hidden="1" x14ac:dyDescent="0.3">
      <c r="A26" s="18">
        <v>0.05</v>
      </c>
      <c r="B26" s="17">
        <v>200</v>
      </c>
      <c r="C26" s="17">
        <v>25</v>
      </c>
      <c r="D26" s="19">
        <v>249.59010000000001</v>
      </c>
      <c r="E26" s="19">
        <v>2.6842000000000006</v>
      </c>
      <c r="F26" s="38">
        <f t="shared" si="0"/>
        <v>2.136413815252094</v>
      </c>
    </row>
    <row r="27" spans="1:31" x14ac:dyDescent="0.3">
      <c r="A27" s="18">
        <v>0.05</v>
      </c>
      <c r="B27" s="17">
        <v>100</v>
      </c>
      <c r="C27" s="17">
        <v>5</v>
      </c>
      <c r="D27" s="19">
        <v>362.49680000000001</v>
      </c>
      <c r="E27" s="19">
        <v>2.7358000000000002</v>
      </c>
      <c r="F27" s="38">
        <f t="shared" si="0"/>
        <v>2.2975347636107712</v>
      </c>
    </row>
    <row r="28" spans="1:31" hidden="1" x14ac:dyDescent="0.3">
      <c r="A28" s="18">
        <v>0.05</v>
      </c>
      <c r="B28" s="17">
        <v>100</v>
      </c>
      <c r="C28" s="17">
        <v>10</v>
      </c>
      <c r="D28" s="19">
        <v>384.71030000000002</v>
      </c>
      <c r="E28" s="19">
        <v>2.724210526315789</v>
      </c>
      <c r="F28" s="38">
        <f t="shared" si="0"/>
        <v>2.2613466436305765</v>
      </c>
    </row>
    <row r="29" spans="1:31" hidden="1" x14ac:dyDescent="0.3">
      <c r="A29" s="18">
        <v>0.05</v>
      </c>
      <c r="B29" s="17">
        <v>100</v>
      </c>
      <c r="C29" s="17">
        <v>15</v>
      </c>
      <c r="D29" s="19">
        <v>377.29070000000002</v>
      </c>
      <c r="E29" s="19">
        <v>2.69</v>
      </c>
      <c r="F29" s="38">
        <f t="shared" si="0"/>
        <v>2.1545243094474471</v>
      </c>
    </row>
    <row r="30" spans="1:31" hidden="1" x14ac:dyDescent="0.3">
      <c r="A30" s="18">
        <v>0.05</v>
      </c>
      <c r="B30" s="17">
        <v>100</v>
      </c>
      <c r="C30" s="17">
        <v>20</v>
      </c>
      <c r="D30" s="19">
        <v>371.4042</v>
      </c>
      <c r="E30" s="19">
        <v>2.66</v>
      </c>
      <c r="F30" s="38">
        <f t="shared" si="0"/>
        <v>2.060849339471472</v>
      </c>
    </row>
    <row r="31" spans="1:31" hidden="1" x14ac:dyDescent="0.3">
      <c r="A31" s="18">
        <v>0.05</v>
      </c>
      <c r="B31" s="17">
        <v>100</v>
      </c>
      <c r="C31" s="17">
        <v>25</v>
      </c>
      <c r="D31" s="19">
        <v>382.2885</v>
      </c>
      <c r="E31" s="19">
        <v>2.6349999999999998</v>
      </c>
      <c r="F31" s="38">
        <f t="shared" si="0"/>
        <v>1.9827868644914908</v>
      </c>
    </row>
    <row r="32" spans="1:31" x14ac:dyDescent="0.3">
      <c r="A32" s="18">
        <v>0.05</v>
      </c>
      <c r="B32" s="17">
        <v>125</v>
      </c>
      <c r="C32" s="17">
        <v>5</v>
      </c>
      <c r="D32" s="19">
        <v>370.42200000000003</v>
      </c>
      <c r="E32" s="19">
        <v>2.7658</v>
      </c>
      <c r="F32" s="38">
        <f t="shared" si="0"/>
        <v>2.3912097335867468</v>
      </c>
    </row>
    <row r="33" spans="1:6" hidden="1" x14ac:dyDescent="0.3">
      <c r="A33" s="18">
        <v>0.05</v>
      </c>
      <c r="B33" s="17">
        <v>125</v>
      </c>
      <c r="C33" s="17">
        <v>10</v>
      </c>
      <c r="D33" s="19">
        <v>371.18329999999997</v>
      </c>
      <c r="E33" s="19">
        <v>2.75</v>
      </c>
      <c r="F33" s="38">
        <f t="shared" si="0"/>
        <v>2.3418742493993991</v>
      </c>
    </row>
    <row r="34" spans="1:6" hidden="1" x14ac:dyDescent="0.3">
      <c r="A34" s="18">
        <v>0.05</v>
      </c>
      <c r="B34" s="17">
        <v>125</v>
      </c>
      <c r="C34" s="17">
        <v>15</v>
      </c>
      <c r="D34" s="19">
        <v>381.46519999999998</v>
      </c>
      <c r="E34" s="19">
        <v>2.7349999999999999</v>
      </c>
      <c r="F34" s="38">
        <f t="shared" si="0"/>
        <v>2.2950367644114111</v>
      </c>
    </row>
    <row r="35" spans="1:6" hidden="1" x14ac:dyDescent="0.3">
      <c r="A35" s="18">
        <v>0.05</v>
      </c>
      <c r="B35" s="17">
        <v>125</v>
      </c>
      <c r="C35" s="17">
        <v>20</v>
      </c>
      <c r="D35" s="19">
        <v>345.09539999999998</v>
      </c>
      <c r="E35" s="19">
        <v>2.6970000000000001</v>
      </c>
      <c r="F35" s="38">
        <f t="shared" si="0"/>
        <v>2.176381802441842</v>
      </c>
    </row>
    <row r="36" spans="1:6" hidden="1" x14ac:dyDescent="0.3">
      <c r="A36" s="18">
        <v>0.05</v>
      </c>
      <c r="B36" s="17">
        <v>125</v>
      </c>
      <c r="C36" s="17">
        <v>25</v>
      </c>
      <c r="D36" s="19">
        <v>367.95319999999998</v>
      </c>
      <c r="E36" s="19">
        <v>2.6749999999999998</v>
      </c>
      <c r="F36" s="38">
        <f t="shared" si="0"/>
        <v>2.1076868244594587</v>
      </c>
    </row>
    <row r="37" spans="1:6" x14ac:dyDescent="0.3">
      <c r="A37" s="18">
        <v>0.05</v>
      </c>
      <c r="B37" s="17">
        <v>150</v>
      </c>
      <c r="C37" s="17">
        <v>5</v>
      </c>
      <c r="D37" s="19">
        <v>386.07940000000002</v>
      </c>
      <c r="E37" s="19">
        <v>2.7850000000000001</v>
      </c>
      <c r="F37" s="38">
        <f t="shared" si="0"/>
        <v>2.4511617143713718</v>
      </c>
    </row>
    <row r="38" spans="1:6" hidden="1" x14ac:dyDescent="0.3">
      <c r="A38" s="18">
        <v>0.05</v>
      </c>
      <c r="B38" s="17">
        <v>150</v>
      </c>
      <c r="C38" s="17">
        <v>10</v>
      </c>
      <c r="D38" s="19">
        <v>386.45299999999997</v>
      </c>
      <c r="E38" s="19">
        <v>2.77</v>
      </c>
      <c r="F38" s="38">
        <f t="shared" si="0"/>
        <v>2.4043242293833833</v>
      </c>
    </row>
    <row r="39" spans="1:6" hidden="1" x14ac:dyDescent="0.3">
      <c r="A39" s="18">
        <v>0.05</v>
      </c>
      <c r="B39" s="17">
        <v>150</v>
      </c>
      <c r="C39" s="17">
        <v>15</v>
      </c>
      <c r="D39" s="19">
        <v>372.51769999999999</v>
      </c>
      <c r="E39" s="19">
        <v>2.7449999999999997</v>
      </c>
      <c r="F39" s="38">
        <f t="shared" si="0"/>
        <v>2.3262617544034021</v>
      </c>
    </row>
    <row r="40" spans="1:6" hidden="1" x14ac:dyDescent="0.3">
      <c r="A40" s="18">
        <v>0.05</v>
      </c>
      <c r="B40" s="17">
        <v>150</v>
      </c>
      <c r="C40" s="17">
        <v>20</v>
      </c>
      <c r="D40" s="19">
        <v>384.19929999999999</v>
      </c>
      <c r="E40" s="19">
        <v>2.73</v>
      </c>
      <c r="F40" s="38">
        <f t="shared" si="0"/>
        <v>2.2794242694154154</v>
      </c>
    </row>
    <row r="41" spans="1:6" hidden="1" x14ac:dyDescent="0.3">
      <c r="A41" s="18">
        <v>0.05</v>
      </c>
      <c r="B41" s="17">
        <v>150</v>
      </c>
      <c r="C41" s="17">
        <v>25</v>
      </c>
      <c r="D41" s="19">
        <v>359.8818</v>
      </c>
      <c r="E41" s="19">
        <v>2.7</v>
      </c>
      <c r="F41" s="38">
        <f t="shared" si="0"/>
        <v>2.1857492994394399</v>
      </c>
    </row>
    <row r="42" spans="1:6" x14ac:dyDescent="0.3">
      <c r="A42" s="18">
        <v>0.05</v>
      </c>
      <c r="B42" s="17">
        <v>175</v>
      </c>
      <c r="C42" s="17">
        <v>5</v>
      </c>
      <c r="D42" s="19">
        <v>377.41699999999997</v>
      </c>
      <c r="E42" s="19">
        <v>2.8042000000000002</v>
      </c>
      <c r="F42" s="38">
        <f t="shared" si="0"/>
        <v>2.5111136951559967</v>
      </c>
    </row>
    <row r="43" spans="1:6" hidden="1" x14ac:dyDescent="0.3">
      <c r="A43" s="18">
        <v>0.05</v>
      </c>
      <c r="B43" s="17">
        <v>175</v>
      </c>
      <c r="C43" s="17">
        <v>10</v>
      </c>
      <c r="D43" s="19">
        <v>392.03840000000002</v>
      </c>
      <c r="E43" s="19">
        <v>2.79</v>
      </c>
      <c r="F43" s="38">
        <f t="shared" si="0"/>
        <v>2.4667742093673675</v>
      </c>
    </row>
    <row r="44" spans="1:6" hidden="1" x14ac:dyDescent="0.3">
      <c r="A44" s="18">
        <v>0.05</v>
      </c>
      <c r="B44" s="17">
        <v>175</v>
      </c>
      <c r="C44" s="17">
        <v>15</v>
      </c>
      <c r="D44" s="19">
        <v>357.34359999999998</v>
      </c>
      <c r="E44" s="19">
        <v>2.7549999999999994</v>
      </c>
      <c r="F44" s="38">
        <f t="shared" si="0"/>
        <v>2.3574867443953935</v>
      </c>
    </row>
    <row r="45" spans="1:6" hidden="1" x14ac:dyDescent="0.3">
      <c r="A45" s="18">
        <v>0.05</v>
      </c>
      <c r="B45" s="17">
        <v>175</v>
      </c>
      <c r="C45" s="17">
        <v>20</v>
      </c>
      <c r="D45" s="19">
        <v>372.8639</v>
      </c>
      <c r="E45" s="19">
        <v>2.7450000000000001</v>
      </c>
      <c r="F45" s="38">
        <f t="shared" si="0"/>
        <v>2.3262617544034039</v>
      </c>
    </row>
    <row r="46" spans="1:6" hidden="1" x14ac:dyDescent="0.3">
      <c r="A46" s="18">
        <v>0.05</v>
      </c>
      <c r="B46" s="17">
        <v>175</v>
      </c>
      <c r="C46" s="17">
        <v>25</v>
      </c>
      <c r="D46" s="19">
        <v>366.39319999999998</v>
      </c>
      <c r="E46" s="19">
        <v>2.7250000000000005</v>
      </c>
      <c r="F46" s="38">
        <f t="shared" si="0"/>
        <v>2.2638117744194211</v>
      </c>
    </row>
    <row r="47" spans="1:6" x14ac:dyDescent="0.3">
      <c r="A47" s="18">
        <v>0.05</v>
      </c>
      <c r="B47" s="17">
        <v>200</v>
      </c>
      <c r="C47" s="17">
        <v>5</v>
      </c>
      <c r="D47" s="19">
        <v>363.78149999999999</v>
      </c>
      <c r="E47" s="19">
        <v>2.8029999999999999</v>
      </c>
      <c r="F47" s="38">
        <f t="shared" si="0"/>
        <v>2.5073666963569567</v>
      </c>
    </row>
    <row r="48" spans="1:6" hidden="1" x14ac:dyDescent="0.3">
      <c r="A48" s="18">
        <v>0.05</v>
      </c>
      <c r="B48" s="17">
        <v>200</v>
      </c>
      <c r="C48" s="17">
        <v>10</v>
      </c>
      <c r="D48" s="19">
        <v>374.16550000000001</v>
      </c>
      <c r="E48" s="19">
        <v>2.79</v>
      </c>
      <c r="F48" s="38">
        <f t="shared" si="0"/>
        <v>2.4667742093673675</v>
      </c>
    </row>
    <row r="49" spans="1:6" hidden="1" x14ac:dyDescent="0.3">
      <c r="A49" s="18">
        <v>0.05</v>
      </c>
      <c r="B49" s="17">
        <v>200</v>
      </c>
      <c r="C49" s="17">
        <v>15</v>
      </c>
      <c r="D49" s="19">
        <v>362.71050000000002</v>
      </c>
      <c r="E49" s="19">
        <v>2.7549999999999994</v>
      </c>
      <c r="F49" s="38">
        <f t="shared" si="0"/>
        <v>2.3574867443953935</v>
      </c>
    </row>
    <row r="50" spans="1:6" hidden="1" x14ac:dyDescent="0.3">
      <c r="A50" s="18">
        <v>0.05</v>
      </c>
      <c r="B50" s="17">
        <v>200</v>
      </c>
      <c r="C50" s="17">
        <v>20</v>
      </c>
      <c r="D50" s="19">
        <v>370.65460000000002</v>
      </c>
      <c r="E50" s="19">
        <v>2.7450000000000001</v>
      </c>
      <c r="F50" s="38">
        <f t="shared" si="0"/>
        <v>2.3262617544034039</v>
      </c>
    </row>
    <row r="51" spans="1:6" hidden="1" x14ac:dyDescent="0.3">
      <c r="A51" s="18">
        <v>0.05</v>
      </c>
      <c r="B51" s="17">
        <v>200</v>
      </c>
      <c r="C51" s="17">
        <v>25</v>
      </c>
      <c r="D51" s="19">
        <v>364.19009999999997</v>
      </c>
      <c r="E51" s="19">
        <v>2.7250000000000005</v>
      </c>
      <c r="F51" s="38">
        <f t="shared" si="0"/>
        <v>2.2638117744194211</v>
      </c>
    </row>
    <row r="52" spans="1:6" x14ac:dyDescent="0.3">
      <c r="A52" s="18">
        <v>0.05</v>
      </c>
      <c r="B52" s="17">
        <v>100</v>
      </c>
      <c r="C52" s="17">
        <v>5</v>
      </c>
      <c r="D52" s="19">
        <v>510.3768</v>
      </c>
      <c r="E52" s="19">
        <v>2.794</v>
      </c>
      <c r="F52" s="38">
        <f t="shared" si="0"/>
        <v>2.479264205364164</v>
      </c>
    </row>
    <row r="53" spans="1:6" hidden="1" x14ac:dyDescent="0.3">
      <c r="A53" s="18">
        <v>0.05</v>
      </c>
      <c r="B53" s="17">
        <v>100</v>
      </c>
      <c r="C53" s="17">
        <v>10</v>
      </c>
      <c r="D53" s="19">
        <v>511.90969999999999</v>
      </c>
      <c r="E53" s="19">
        <v>2.77</v>
      </c>
      <c r="F53" s="38">
        <f t="shared" si="0"/>
        <v>2.4043242293833833</v>
      </c>
    </row>
    <row r="54" spans="1:6" hidden="1" x14ac:dyDescent="0.3">
      <c r="A54" s="18">
        <v>0.05</v>
      </c>
      <c r="B54" s="17">
        <v>100</v>
      </c>
      <c r="C54" s="17">
        <v>15</v>
      </c>
      <c r="D54" s="19">
        <v>501.65690000000001</v>
      </c>
      <c r="E54" s="19">
        <v>2.7349999999999999</v>
      </c>
      <c r="F54" s="38">
        <f t="shared" si="0"/>
        <v>2.2950367644114111</v>
      </c>
    </row>
    <row r="55" spans="1:6" hidden="1" x14ac:dyDescent="0.3">
      <c r="A55" s="18">
        <v>0.05</v>
      </c>
      <c r="B55" s="17">
        <v>100</v>
      </c>
      <c r="C55" s="17">
        <v>20</v>
      </c>
      <c r="D55" s="19">
        <v>494.75760000000002</v>
      </c>
      <c r="E55" s="19">
        <v>2.7</v>
      </c>
      <c r="F55" s="38">
        <f t="shared" si="0"/>
        <v>2.1857492994394399</v>
      </c>
    </row>
    <row r="56" spans="1:6" hidden="1" x14ac:dyDescent="0.3">
      <c r="A56" s="18">
        <v>0.05</v>
      </c>
      <c r="B56" s="17">
        <v>100</v>
      </c>
      <c r="C56" s="17">
        <v>25</v>
      </c>
      <c r="D56" s="19">
        <v>505.98020000000002</v>
      </c>
      <c r="E56" s="19">
        <v>2.6749999999999998</v>
      </c>
      <c r="F56" s="38">
        <f t="shared" si="0"/>
        <v>2.1076868244594587</v>
      </c>
    </row>
    <row r="57" spans="1:6" x14ac:dyDescent="0.3">
      <c r="A57" s="18">
        <v>0.05</v>
      </c>
      <c r="B57" s="17">
        <v>125</v>
      </c>
      <c r="C57" s="17">
        <v>5</v>
      </c>
      <c r="D57" s="19">
        <v>494.15379999999999</v>
      </c>
      <c r="E57" s="19">
        <v>2.8159999999999998</v>
      </c>
      <c r="F57" s="38">
        <f t="shared" si="0"/>
        <v>2.547959183346546</v>
      </c>
    </row>
    <row r="58" spans="1:6" hidden="1" x14ac:dyDescent="0.3">
      <c r="A58" s="18">
        <v>0.05</v>
      </c>
      <c r="B58" s="17">
        <v>125</v>
      </c>
      <c r="C58" s="17">
        <v>10</v>
      </c>
      <c r="D58" s="19">
        <v>495.15210000000002</v>
      </c>
      <c r="E58" s="19">
        <v>2.7949999999999999</v>
      </c>
      <c r="F58" s="38">
        <f t="shared" si="0"/>
        <v>2.4823867043633632</v>
      </c>
    </row>
    <row r="59" spans="1:6" hidden="1" x14ac:dyDescent="0.3">
      <c r="A59" s="18">
        <v>0.05</v>
      </c>
      <c r="B59" s="17">
        <v>125</v>
      </c>
      <c r="C59" s="17">
        <v>15</v>
      </c>
      <c r="D59" s="19">
        <v>521.19110000000001</v>
      </c>
      <c r="E59" s="19">
        <v>2.78</v>
      </c>
      <c r="F59" s="38">
        <f t="shared" si="0"/>
        <v>2.4355492193753747</v>
      </c>
    </row>
    <row r="60" spans="1:6" hidden="1" x14ac:dyDescent="0.3">
      <c r="A60" s="18">
        <v>0.05</v>
      </c>
      <c r="B60" s="17">
        <v>125</v>
      </c>
      <c r="C60" s="17">
        <v>20</v>
      </c>
      <c r="D60" s="19">
        <v>488.69009999999997</v>
      </c>
      <c r="E60" s="19">
        <v>2.74</v>
      </c>
      <c r="F60" s="38">
        <f t="shared" si="0"/>
        <v>2.3106492594074082</v>
      </c>
    </row>
    <row r="61" spans="1:6" hidden="1" x14ac:dyDescent="0.3">
      <c r="A61" s="18">
        <v>0.05</v>
      </c>
      <c r="B61" s="17">
        <v>125</v>
      </c>
      <c r="C61" s="17">
        <v>25</v>
      </c>
      <c r="D61" s="19">
        <v>525.57529999999997</v>
      </c>
      <c r="E61" s="19">
        <v>2.7249999999999996</v>
      </c>
      <c r="F61" s="38">
        <f t="shared" si="0"/>
        <v>2.2638117744194184</v>
      </c>
    </row>
    <row r="62" spans="1:6" x14ac:dyDescent="0.3">
      <c r="A62" s="18">
        <v>0.05</v>
      </c>
      <c r="B62" s="17">
        <v>150</v>
      </c>
      <c r="C62" s="17">
        <v>5</v>
      </c>
      <c r="D62" s="19">
        <v>503.50599999999997</v>
      </c>
      <c r="E62" s="19">
        <v>2.8380000000000001</v>
      </c>
      <c r="F62" s="38">
        <f t="shared" si="0"/>
        <v>2.6166541613289289</v>
      </c>
    </row>
    <row r="63" spans="1:6" hidden="1" x14ac:dyDescent="0.3">
      <c r="A63" s="18">
        <v>0.05</v>
      </c>
      <c r="B63" s="17">
        <v>150</v>
      </c>
      <c r="C63" s="17">
        <v>10</v>
      </c>
      <c r="D63" s="19">
        <v>491.40120000000002</v>
      </c>
      <c r="E63" s="19">
        <v>2.8149999999999999</v>
      </c>
      <c r="F63" s="38">
        <f t="shared" si="0"/>
        <v>2.5448366843473473</v>
      </c>
    </row>
    <row r="64" spans="1:6" hidden="1" x14ac:dyDescent="0.3">
      <c r="A64" s="18">
        <v>0.05</v>
      </c>
      <c r="B64" s="17">
        <v>150</v>
      </c>
      <c r="C64" s="17">
        <v>15</v>
      </c>
      <c r="D64" s="19">
        <v>505.9248</v>
      </c>
      <c r="E64" s="19">
        <v>2.7949999999999999</v>
      </c>
      <c r="F64" s="38">
        <f t="shared" si="0"/>
        <v>2.4823867043633632</v>
      </c>
    </row>
    <row r="65" spans="1:6" hidden="1" x14ac:dyDescent="0.3">
      <c r="A65" s="18">
        <v>0.05</v>
      </c>
      <c r="B65" s="17">
        <v>150</v>
      </c>
      <c r="C65" s="17">
        <v>20</v>
      </c>
      <c r="D65" s="19">
        <v>488.28179999999998</v>
      </c>
      <c r="E65" s="19">
        <v>2.7749999999999999</v>
      </c>
      <c r="F65" s="38">
        <f t="shared" si="0"/>
        <v>2.419936724379379</v>
      </c>
    </row>
    <row r="66" spans="1:6" hidden="1" x14ac:dyDescent="0.3">
      <c r="A66" s="18">
        <v>0.05</v>
      </c>
      <c r="B66" s="17">
        <v>150</v>
      </c>
      <c r="C66" s="17">
        <v>25</v>
      </c>
      <c r="D66" s="19">
        <v>532.51170000000002</v>
      </c>
      <c r="E66" s="19">
        <v>2.7549999999999999</v>
      </c>
      <c r="F66" s="38">
        <f t="shared" si="0"/>
        <v>2.3574867443953949</v>
      </c>
    </row>
    <row r="67" spans="1:6" x14ac:dyDescent="0.3">
      <c r="A67" s="18">
        <v>0.05</v>
      </c>
      <c r="B67" s="17">
        <v>175</v>
      </c>
      <c r="C67" s="17">
        <v>5</v>
      </c>
      <c r="D67" s="19">
        <v>521.23149999999998</v>
      </c>
      <c r="E67" s="19">
        <v>2.8600000000000003</v>
      </c>
      <c r="F67" s="38">
        <f t="shared" ref="F67:F130" si="1">(E67-2)/(2*SQRT(A67/(2-A67)))</f>
        <v>2.6853491393113122</v>
      </c>
    </row>
    <row r="68" spans="1:6" hidden="1" x14ac:dyDescent="0.3">
      <c r="A68" s="18">
        <v>0.05</v>
      </c>
      <c r="B68" s="17">
        <v>175</v>
      </c>
      <c r="C68" s="17">
        <v>10</v>
      </c>
      <c r="D68" s="19">
        <v>512.76790000000005</v>
      </c>
      <c r="E68" s="19">
        <v>2.84</v>
      </c>
      <c r="F68" s="38">
        <f t="shared" si="1"/>
        <v>2.6228991593273268</v>
      </c>
    </row>
    <row r="69" spans="1:6" hidden="1" x14ac:dyDescent="0.3">
      <c r="A69" s="18">
        <v>0.05</v>
      </c>
      <c r="B69" s="17">
        <v>175</v>
      </c>
      <c r="C69" s="17">
        <v>15</v>
      </c>
      <c r="D69" s="19">
        <v>474.6216</v>
      </c>
      <c r="E69" s="19">
        <v>2.81</v>
      </c>
      <c r="F69" s="38">
        <f t="shared" si="1"/>
        <v>2.5292241893513516</v>
      </c>
    </row>
    <row r="70" spans="1:6" hidden="1" x14ac:dyDescent="0.3">
      <c r="A70" s="18">
        <v>0.05</v>
      </c>
      <c r="B70" s="17">
        <v>175</v>
      </c>
      <c r="C70" s="17">
        <v>20</v>
      </c>
      <c r="D70" s="19">
        <v>497.24090000000001</v>
      </c>
      <c r="E70" s="19">
        <v>2.8</v>
      </c>
      <c r="F70" s="38">
        <f t="shared" si="1"/>
        <v>2.4979991993593589</v>
      </c>
    </row>
    <row r="71" spans="1:6" hidden="1" x14ac:dyDescent="0.3">
      <c r="A71" s="18">
        <v>0.05</v>
      </c>
      <c r="B71" s="17">
        <v>175</v>
      </c>
      <c r="C71" s="17">
        <v>25</v>
      </c>
      <c r="D71" s="19">
        <v>528.99869999999999</v>
      </c>
      <c r="E71" s="19">
        <v>2.7850000000000001</v>
      </c>
      <c r="F71" s="38">
        <f t="shared" si="1"/>
        <v>2.4511617143713718</v>
      </c>
    </row>
    <row r="72" spans="1:6" x14ac:dyDescent="0.3">
      <c r="A72" s="18">
        <v>0.05</v>
      </c>
      <c r="B72" s="17">
        <v>200</v>
      </c>
      <c r="C72" s="17">
        <v>5</v>
      </c>
      <c r="D72" s="19">
        <v>502.29919999999998</v>
      </c>
      <c r="E72" s="19">
        <v>2.8620000000000001</v>
      </c>
      <c r="F72" s="38">
        <f t="shared" si="1"/>
        <v>2.6915941373097101</v>
      </c>
    </row>
    <row r="73" spans="1:6" hidden="1" x14ac:dyDescent="0.3">
      <c r="A73" s="18">
        <v>0.05</v>
      </c>
      <c r="B73" s="17">
        <v>200</v>
      </c>
      <c r="C73" s="17">
        <v>10</v>
      </c>
      <c r="D73" s="19">
        <v>515.60490000000004</v>
      </c>
      <c r="E73" s="19">
        <v>2.85</v>
      </c>
      <c r="F73" s="38">
        <f t="shared" si="1"/>
        <v>2.6541241493193195</v>
      </c>
    </row>
    <row r="74" spans="1:6" hidden="1" x14ac:dyDescent="0.3">
      <c r="A74" s="18">
        <v>0.05</v>
      </c>
      <c r="B74" s="17">
        <v>200</v>
      </c>
      <c r="C74" s="17">
        <v>15</v>
      </c>
      <c r="D74" s="19">
        <v>494.1037</v>
      </c>
      <c r="E74" s="19">
        <v>2.8319999999999999</v>
      </c>
      <c r="F74" s="38">
        <f t="shared" si="1"/>
        <v>2.5979191673337332</v>
      </c>
    </row>
    <row r="75" spans="1:6" hidden="1" x14ac:dyDescent="0.3">
      <c r="A75" s="18">
        <v>0.05</v>
      </c>
      <c r="B75" s="17">
        <v>200</v>
      </c>
      <c r="C75" s="17">
        <v>20</v>
      </c>
      <c r="D75" s="19">
        <v>507.12430000000001</v>
      </c>
      <c r="E75" s="19">
        <v>2.8219999999999996</v>
      </c>
      <c r="F75" s="38">
        <f t="shared" si="1"/>
        <v>2.5666941773417404</v>
      </c>
    </row>
    <row r="76" spans="1:6" hidden="1" x14ac:dyDescent="0.3">
      <c r="A76" s="18">
        <v>0.05</v>
      </c>
      <c r="B76" s="17">
        <v>200</v>
      </c>
      <c r="C76" s="17">
        <v>25</v>
      </c>
      <c r="D76" s="19">
        <v>505.97969999999998</v>
      </c>
      <c r="E76" s="19">
        <v>2.7949999999999999</v>
      </c>
      <c r="F76" s="38">
        <f t="shared" si="1"/>
        <v>2.4823867043633632</v>
      </c>
    </row>
    <row r="77" spans="1:6" hidden="1" x14ac:dyDescent="0.3">
      <c r="A77" s="18">
        <v>0.1</v>
      </c>
      <c r="B77" s="17">
        <v>100</v>
      </c>
      <c r="C77" s="17">
        <v>5</v>
      </c>
      <c r="D77" s="19">
        <v>265.0385</v>
      </c>
      <c r="E77" s="19">
        <v>3.2</v>
      </c>
      <c r="F77" s="38">
        <f t="shared" si="1"/>
        <v>2.6153393661244047</v>
      </c>
    </row>
    <row r="78" spans="1:6" hidden="1" x14ac:dyDescent="0.3">
      <c r="A78" s="18">
        <v>0.1</v>
      </c>
      <c r="B78" s="17">
        <v>100</v>
      </c>
      <c r="C78" s="17">
        <v>10</v>
      </c>
      <c r="D78" s="19">
        <v>244.2448</v>
      </c>
      <c r="E78" s="19">
        <v>3.1509999999999998</v>
      </c>
      <c r="F78" s="38">
        <f t="shared" si="1"/>
        <v>2.5085463420076572</v>
      </c>
    </row>
    <row r="79" spans="1:6" hidden="1" x14ac:dyDescent="0.3">
      <c r="A79" s="18">
        <v>0.1</v>
      </c>
      <c r="B79" s="17">
        <v>100</v>
      </c>
      <c r="C79" s="17">
        <v>15</v>
      </c>
      <c r="D79" s="19">
        <v>236.79660000000001</v>
      </c>
      <c r="E79" s="19">
        <v>3.0950000000000002</v>
      </c>
      <c r="F79" s="38">
        <f t="shared" si="1"/>
        <v>2.3864971715885193</v>
      </c>
    </row>
    <row r="80" spans="1:6" hidden="1" x14ac:dyDescent="0.3">
      <c r="A80" s="18">
        <v>0.1</v>
      </c>
      <c r="B80" s="17">
        <v>100</v>
      </c>
      <c r="C80" s="17">
        <v>20</v>
      </c>
      <c r="D80" s="19">
        <v>265.37169999999998</v>
      </c>
      <c r="E80" s="19">
        <v>3.085</v>
      </c>
      <c r="F80" s="38">
        <f t="shared" si="1"/>
        <v>2.3647026768708153</v>
      </c>
    </row>
    <row r="81" spans="1:6" hidden="1" x14ac:dyDescent="0.3">
      <c r="A81" s="18">
        <v>0.1</v>
      </c>
      <c r="B81" s="17">
        <v>100</v>
      </c>
      <c r="C81" s="17">
        <v>25</v>
      </c>
      <c r="D81" s="19">
        <v>262.04349999999999</v>
      </c>
      <c r="E81" s="19">
        <v>3.05</v>
      </c>
      <c r="F81" s="38">
        <f t="shared" si="1"/>
        <v>2.288421945358853</v>
      </c>
    </row>
    <row r="82" spans="1:6" hidden="1" x14ac:dyDescent="0.3">
      <c r="A82" s="18">
        <v>0.1</v>
      </c>
      <c r="B82" s="17">
        <v>125</v>
      </c>
      <c r="C82" s="17">
        <v>5</v>
      </c>
      <c r="D82" s="19">
        <v>265.65589999999997</v>
      </c>
      <c r="E82" s="19">
        <v>3.2330000000000001</v>
      </c>
      <c r="F82" s="38">
        <f t="shared" si="1"/>
        <v>2.6872611986928252</v>
      </c>
    </row>
    <row r="83" spans="1:6" hidden="1" x14ac:dyDescent="0.3">
      <c r="A83" s="18">
        <v>0.1</v>
      </c>
      <c r="B83" s="17">
        <v>125</v>
      </c>
      <c r="C83" s="17">
        <v>10</v>
      </c>
      <c r="D83" s="19">
        <v>250.68289999999999</v>
      </c>
      <c r="E83" s="19">
        <v>3.1839999999999997</v>
      </c>
      <c r="F83" s="38">
        <f t="shared" si="1"/>
        <v>2.5804681745760782</v>
      </c>
    </row>
    <row r="84" spans="1:6" hidden="1" x14ac:dyDescent="0.3">
      <c r="A84" s="18">
        <v>0.1</v>
      </c>
      <c r="B84" s="17">
        <v>125</v>
      </c>
      <c r="C84" s="17">
        <v>15</v>
      </c>
      <c r="D84" s="19">
        <v>238.08770000000001</v>
      </c>
      <c r="E84" s="19">
        <v>3.1450000000000005</v>
      </c>
      <c r="F84" s="38">
        <f t="shared" si="1"/>
        <v>2.4954696451770366</v>
      </c>
    </row>
    <row r="85" spans="1:6" hidden="1" x14ac:dyDescent="0.3">
      <c r="A85" s="18">
        <v>0.1</v>
      </c>
      <c r="B85" s="17">
        <v>125</v>
      </c>
      <c r="C85" s="17">
        <v>20</v>
      </c>
      <c r="D85" s="19">
        <v>265.26159999999999</v>
      </c>
      <c r="E85" s="19">
        <v>3.1379999999999999</v>
      </c>
      <c r="F85" s="38">
        <f t="shared" si="1"/>
        <v>2.4802134988746429</v>
      </c>
    </row>
    <row r="86" spans="1:6" hidden="1" x14ac:dyDescent="0.3">
      <c r="A86" s="18">
        <v>0.1</v>
      </c>
      <c r="B86" s="17">
        <v>125</v>
      </c>
      <c r="C86" s="17">
        <v>25</v>
      </c>
      <c r="D86" s="19">
        <v>264.82069999999999</v>
      </c>
      <c r="E86" s="19">
        <v>3.11</v>
      </c>
      <c r="F86" s="38">
        <f t="shared" si="1"/>
        <v>2.4191889136650735</v>
      </c>
    </row>
    <row r="87" spans="1:6" hidden="1" x14ac:dyDescent="0.3">
      <c r="A87" s="18">
        <v>0.1</v>
      </c>
      <c r="B87" s="17">
        <v>150</v>
      </c>
      <c r="C87" s="17">
        <v>5</v>
      </c>
      <c r="D87" s="19">
        <v>253.4743</v>
      </c>
      <c r="E87" s="19">
        <v>3.2469999999999999</v>
      </c>
      <c r="F87" s="38">
        <f t="shared" si="1"/>
        <v>2.7177734912976095</v>
      </c>
    </row>
    <row r="88" spans="1:6" hidden="1" x14ac:dyDescent="0.3">
      <c r="A88" s="18">
        <v>0.1</v>
      </c>
      <c r="B88" s="17">
        <v>150</v>
      </c>
      <c r="C88" s="17">
        <v>10</v>
      </c>
      <c r="D88" s="19">
        <v>252.1123</v>
      </c>
      <c r="E88" s="19">
        <v>3.2229999999999999</v>
      </c>
      <c r="F88" s="38">
        <f t="shared" si="1"/>
        <v>2.6654667039751216</v>
      </c>
    </row>
    <row r="89" spans="1:6" hidden="1" x14ac:dyDescent="0.3">
      <c r="A89" s="18">
        <v>0.1</v>
      </c>
      <c r="B89" s="17">
        <v>150</v>
      </c>
      <c r="C89" s="17">
        <v>15</v>
      </c>
      <c r="D89" s="19">
        <v>251.3544</v>
      </c>
      <c r="E89" s="19">
        <v>3.1949999999999998</v>
      </c>
      <c r="F89" s="38">
        <f t="shared" si="1"/>
        <v>2.6044421187655522</v>
      </c>
    </row>
    <row r="90" spans="1:6" hidden="1" x14ac:dyDescent="0.3">
      <c r="A90" s="18">
        <v>0.1</v>
      </c>
      <c r="B90" s="17">
        <v>150</v>
      </c>
      <c r="C90" s="17">
        <v>20</v>
      </c>
      <c r="D90" s="19">
        <v>266.62939999999998</v>
      </c>
      <c r="E90" s="19">
        <v>3.1749999999999998</v>
      </c>
      <c r="F90" s="38">
        <f t="shared" si="1"/>
        <v>2.5608531293301451</v>
      </c>
    </row>
    <row r="91" spans="1:6" hidden="1" x14ac:dyDescent="0.3">
      <c r="A91" s="18">
        <v>0.1</v>
      </c>
      <c r="B91" s="17">
        <v>150</v>
      </c>
      <c r="C91" s="17">
        <v>25</v>
      </c>
      <c r="D91" s="19">
        <v>262.12040000000002</v>
      </c>
      <c r="E91" s="19">
        <v>3.15</v>
      </c>
      <c r="F91" s="38">
        <f t="shared" si="1"/>
        <v>2.5063668925358868</v>
      </c>
    </row>
    <row r="92" spans="1:6" hidden="1" x14ac:dyDescent="0.3">
      <c r="A92" s="18">
        <v>0.1</v>
      </c>
      <c r="B92" s="17">
        <v>175</v>
      </c>
      <c r="C92" s="17">
        <v>5</v>
      </c>
      <c r="D92" s="19">
        <v>256.77030000000002</v>
      </c>
      <c r="E92" s="19">
        <v>3.27</v>
      </c>
      <c r="F92" s="38">
        <f t="shared" si="1"/>
        <v>2.7679008291483278</v>
      </c>
    </row>
    <row r="93" spans="1:6" hidden="1" x14ac:dyDescent="0.3">
      <c r="A93" s="18">
        <v>0.1</v>
      </c>
      <c r="B93" s="17">
        <v>175</v>
      </c>
      <c r="C93" s="17">
        <v>10</v>
      </c>
      <c r="D93" s="19">
        <v>250.86330000000001</v>
      </c>
      <c r="E93" s="19">
        <v>3.2360000000000002</v>
      </c>
      <c r="F93" s="38">
        <f t="shared" si="1"/>
        <v>2.6937995471081368</v>
      </c>
    </row>
    <row r="94" spans="1:6" hidden="1" x14ac:dyDescent="0.3">
      <c r="A94" s="18">
        <v>0.1</v>
      </c>
      <c r="B94" s="17">
        <v>175</v>
      </c>
      <c r="C94" s="17">
        <v>15</v>
      </c>
      <c r="D94" s="19">
        <v>260.82859999999999</v>
      </c>
      <c r="E94" s="19">
        <v>3.2275</v>
      </c>
      <c r="F94" s="38">
        <f t="shared" si="1"/>
        <v>2.6752742265980882</v>
      </c>
    </row>
    <row r="95" spans="1:6" hidden="1" x14ac:dyDescent="0.3">
      <c r="A95" s="18">
        <v>0.1</v>
      </c>
      <c r="B95" s="17">
        <v>175</v>
      </c>
      <c r="C95" s="17">
        <v>20</v>
      </c>
      <c r="D95" s="19">
        <v>254.24289999999999</v>
      </c>
      <c r="E95" s="19">
        <v>3.2075</v>
      </c>
      <c r="F95" s="38">
        <f t="shared" si="1"/>
        <v>2.6316852371626815</v>
      </c>
    </row>
    <row r="96" spans="1:6" hidden="1" x14ac:dyDescent="0.3">
      <c r="A96" s="18">
        <v>0.1</v>
      </c>
      <c r="B96" s="17">
        <v>175</v>
      </c>
      <c r="C96" s="17">
        <v>25</v>
      </c>
      <c r="D96" s="19">
        <v>265.53820000000002</v>
      </c>
      <c r="E96" s="19">
        <v>3.1825000000000001</v>
      </c>
      <c r="F96" s="38">
        <f t="shared" si="1"/>
        <v>2.5771990003684233</v>
      </c>
    </row>
    <row r="97" spans="1:6" hidden="1" x14ac:dyDescent="0.3">
      <c r="A97" s="18">
        <v>0.1</v>
      </c>
      <c r="B97" s="17">
        <v>200</v>
      </c>
      <c r="C97" s="17">
        <v>5</v>
      </c>
      <c r="D97" s="19">
        <v>268.255</v>
      </c>
      <c r="E97" s="19">
        <v>3.2949999999999999</v>
      </c>
      <c r="F97" s="38">
        <f t="shared" si="1"/>
        <v>2.822387065942586</v>
      </c>
    </row>
    <row r="98" spans="1:6" hidden="1" x14ac:dyDescent="0.3">
      <c r="A98" s="18">
        <v>0.1</v>
      </c>
      <c r="B98" s="17">
        <v>200</v>
      </c>
      <c r="C98" s="17">
        <v>10</v>
      </c>
      <c r="D98" s="19">
        <v>252.9074</v>
      </c>
      <c r="E98" s="19">
        <v>3.2709999999999999</v>
      </c>
      <c r="F98" s="38">
        <f t="shared" si="1"/>
        <v>2.7700802786200978</v>
      </c>
    </row>
    <row r="99" spans="1:6" hidden="1" x14ac:dyDescent="0.3">
      <c r="A99" s="18">
        <v>0.1</v>
      </c>
      <c r="B99" s="17">
        <v>200</v>
      </c>
      <c r="C99" s="17">
        <v>15</v>
      </c>
      <c r="D99" s="19">
        <v>258.65960000000001</v>
      </c>
      <c r="E99" s="19">
        <v>3.238</v>
      </c>
      <c r="F99" s="38">
        <f t="shared" si="1"/>
        <v>2.6981584460516768</v>
      </c>
    </row>
    <row r="100" spans="1:6" hidden="1" x14ac:dyDescent="0.3">
      <c r="A100" s="18">
        <v>0.1</v>
      </c>
      <c r="B100" s="17">
        <v>200</v>
      </c>
      <c r="C100" s="17">
        <v>20</v>
      </c>
      <c r="D100" s="19">
        <v>257.63749999999999</v>
      </c>
      <c r="E100" s="19">
        <v>3.22</v>
      </c>
      <c r="F100" s="38">
        <f t="shared" si="1"/>
        <v>2.6589283555598113</v>
      </c>
    </row>
    <row r="101" spans="1:6" hidden="1" x14ac:dyDescent="0.3">
      <c r="A101" s="18">
        <v>0.1</v>
      </c>
      <c r="B101" s="17">
        <v>200</v>
      </c>
      <c r="C101" s="17">
        <v>25</v>
      </c>
      <c r="D101" s="19">
        <v>253.51079999999999</v>
      </c>
      <c r="E101" s="19">
        <v>3.2</v>
      </c>
      <c r="F101" s="38">
        <f t="shared" si="1"/>
        <v>2.6153393661244047</v>
      </c>
    </row>
    <row r="102" spans="1:6" hidden="1" x14ac:dyDescent="0.3">
      <c r="A102" s="18">
        <v>0.1</v>
      </c>
      <c r="B102" s="17">
        <v>100</v>
      </c>
      <c r="C102" s="17">
        <v>5</v>
      </c>
      <c r="D102" s="19">
        <v>375.51909999999998</v>
      </c>
      <c r="E102" s="19">
        <v>3.2949999999999999</v>
      </c>
      <c r="F102" s="38">
        <f t="shared" si="1"/>
        <v>2.822387065942586</v>
      </c>
    </row>
    <row r="103" spans="1:6" hidden="1" x14ac:dyDescent="0.3">
      <c r="A103" s="18">
        <v>0.1</v>
      </c>
      <c r="B103" s="17">
        <v>100</v>
      </c>
      <c r="C103" s="17">
        <v>10</v>
      </c>
      <c r="D103" s="19">
        <v>369.21080000000001</v>
      </c>
      <c r="E103" s="19">
        <v>3.2450000000000001</v>
      </c>
      <c r="F103" s="38">
        <f t="shared" si="1"/>
        <v>2.7134145923540696</v>
      </c>
    </row>
    <row r="104" spans="1:6" hidden="1" x14ac:dyDescent="0.3">
      <c r="A104" s="18">
        <v>0.1</v>
      </c>
      <c r="B104" s="17">
        <v>100</v>
      </c>
      <c r="C104" s="17">
        <v>15</v>
      </c>
      <c r="D104" s="19">
        <v>373.05709999999999</v>
      </c>
      <c r="E104" s="19">
        <v>3.21</v>
      </c>
      <c r="F104" s="38">
        <f t="shared" si="1"/>
        <v>2.6371338608421073</v>
      </c>
    </row>
    <row r="105" spans="1:6" hidden="1" x14ac:dyDescent="0.3">
      <c r="A105" s="18">
        <v>0.1</v>
      </c>
      <c r="B105" s="17">
        <v>100</v>
      </c>
      <c r="C105" s="17">
        <v>20</v>
      </c>
      <c r="D105" s="19">
        <v>377.53660000000002</v>
      </c>
      <c r="E105" s="19">
        <v>3.1750000000000003</v>
      </c>
      <c r="F105" s="38">
        <f t="shared" si="1"/>
        <v>2.5608531293301464</v>
      </c>
    </row>
    <row r="106" spans="1:6" hidden="1" x14ac:dyDescent="0.3">
      <c r="A106" s="18">
        <v>0.1</v>
      </c>
      <c r="B106" s="17">
        <v>100</v>
      </c>
      <c r="C106" s="17">
        <v>25</v>
      </c>
      <c r="D106" s="19">
        <v>369.98590000000002</v>
      </c>
      <c r="E106" s="19">
        <v>3.125</v>
      </c>
      <c r="F106" s="38">
        <f t="shared" si="1"/>
        <v>2.4518806557416286</v>
      </c>
    </row>
    <row r="107" spans="1:6" hidden="1" x14ac:dyDescent="0.3">
      <c r="A107" s="18">
        <v>0.1</v>
      </c>
      <c r="B107" s="17">
        <v>125</v>
      </c>
      <c r="C107" s="17">
        <v>5</v>
      </c>
      <c r="D107" s="19">
        <v>368.33800000000002</v>
      </c>
      <c r="E107" s="19">
        <v>3.3279999999999998</v>
      </c>
      <c r="F107" s="38">
        <f t="shared" si="1"/>
        <v>2.894308898511007</v>
      </c>
    </row>
    <row r="108" spans="1:6" hidden="1" x14ac:dyDescent="0.3">
      <c r="A108" s="18">
        <v>0.1</v>
      </c>
      <c r="B108" s="17">
        <v>125</v>
      </c>
      <c r="C108" s="17">
        <v>10</v>
      </c>
      <c r="D108" s="19">
        <v>348.66759999999999</v>
      </c>
      <c r="E108" s="19">
        <v>3.278</v>
      </c>
      <c r="F108" s="38">
        <f t="shared" si="1"/>
        <v>2.7853364249224906</v>
      </c>
    </row>
    <row r="109" spans="1:6" hidden="1" x14ac:dyDescent="0.3">
      <c r="A109" s="18">
        <v>0.1</v>
      </c>
      <c r="B109" s="17">
        <v>125</v>
      </c>
      <c r="C109" s="17">
        <v>15</v>
      </c>
      <c r="D109" s="19">
        <v>384.85700000000003</v>
      </c>
      <c r="E109" s="19">
        <v>3.2600000000000002</v>
      </c>
      <c r="F109" s="38">
        <f t="shared" si="1"/>
        <v>2.7461063344306247</v>
      </c>
    </row>
    <row r="110" spans="1:6" hidden="1" x14ac:dyDescent="0.3">
      <c r="A110" s="18">
        <v>0.1</v>
      </c>
      <c r="B110" s="17">
        <v>125</v>
      </c>
      <c r="C110" s="17">
        <v>20</v>
      </c>
      <c r="D110" s="19">
        <v>383.74119999999999</v>
      </c>
      <c r="E110" s="19">
        <v>3.2280000000000002</v>
      </c>
      <c r="F110" s="38">
        <f t="shared" si="1"/>
        <v>2.6763639513339741</v>
      </c>
    </row>
    <row r="111" spans="1:6" hidden="1" x14ac:dyDescent="0.3">
      <c r="A111" s="18">
        <v>0.1</v>
      </c>
      <c r="B111" s="17">
        <v>125</v>
      </c>
      <c r="C111" s="17">
        <v>25</v>
      </c>
      <c r="D111" s="19">
        <v>384.42090000000002</v>
      </c>
      <c r="E111" s="19">
        <v>3.198</v>
      </c>
      <c r="F111" s="38">
        <f t="shared" si="1"/>
        <v>2.6109804671808634</v>
      </c>
    </row>
    <row r="112" spans="1:6" hidden="1" x14ac:dyDescent="0.3">
      <c r="A112" s="18">
        <v>0.1</v>
      </c>
      <c r="B112" s="17">
        <v>150</v>
      </c>
      <c r="C112" s="17">
        <v>5</v>
      </c>
      <c r="D112" s="19">
        <v>367.43419999999998</v>
      </c>
      <c r="E112" s="19">
        <v>3.347</v>
      </c>
      <c r="F112" s="38">
        <f t="shared" si="1"/>
        <v>2.9357184384746433</v>
      </c>
    </row>
    <row r="113" spans="1:6" hidden="1" x14ac:dyDescent="0.3">
      <c r="A113" s="18">
        <v>0.1</v>
      </c>
      <c r="B113" s="17">
        <v>150</v>
      </c>
      <c r="C113" s="17">
        <v>10</v>
      </c>
      <c r="D113" s="19">
        <v>356.64940000000001</v>
      </c>
      <c r="E113" s="19">
        <v>3.3119999999999998</v>
      </c>
      <c r="F113" s="38">
        <f t="shared" si="1"/>
        <v>2.8594377069626815</v>
      </c>
    </row>
    <row r="114" spans="1:6" hidden="1" x14ac:dyDescent="0.3">
      <c r="A114" s="18">
        <v>0.1</v>
      </c>
      <c r="B114" s="17">
        <v>150</v>
      </c>
      <c r="C114" s="17">
        <v>15</v>
      </c>
      <c r="D114" s="19">
        <v>375.0985</v>
      </c>
      <c r="E114" s="19">
        <v>3.2949999999999999</v>
      </c>
      <c r="F114" s="38">
        <f t="shared" si="1"/>
        <v>2.822387065942586</v>
      </c>
    </row>
    <row r="115" spans="1:6" hidden="1" x14ac:dyDescent="0.3">
      <c r="A115" s="18">
        <v>0.1</v>
      </c>
      <c r="B115" s="17">
        <v>150</v>
      </c>
      <c r="C115" s="17">
        <v>20</v>
      </c>
      <c r="D115" s="19">
        <v>358.95350000000002</v>
      </c>
      <c r="E115" s="19">
        <v>3.2549999999999999</v>
      </c>
      <c r="F115" s="38">
        <f t="shared" si="1"/>
        <v>2.7352090870717722</v>
      </c>
    </row>
    <row r="116" spans="1:6" hidden="1" x14ac:dyDescent="0.3">
      <c r="A116" s="18">
        <v>0.1</v>
      </c>
      <c r="B116" s="17">
        <v>150</v>
      </c>
      <c r="C116" s="17">
        <v>25</v>
      </c>
      <c r="D116" s="19">
        <v>359.36790000000002</v>
      </c>
      <c r="E116" s="19">
        <v>3.2250000000000001</v>
      </c>
      <c r="F116" s="38">
        <f t="shared" si="1"/>
        <v>2.6698256029186629</v>
      </c>
    </row>
    <row r="117" spans="1:6" hidden="1" x14ac:dyDescent="0.3">
      <c r="A117" s="18">
        <v>0.1</v>
      </c>
      <c r="B117" s="17">
        <v>175</v>
      </c>
      <c r="C117" s="17">
        <v>5</v>
      </c>
      <c r="D117" s="19">
        <v>370.84390000000002</v>
      </c>
      <c r="E117" s="19">
        <v>3.3795000000000002</v>
      </c>
      <c r="F117" s="38">
        <f t="shared" si="1"/>
        <v>3.0065505463071798</v>
      </c>
    </row>
    <row r="118" spans="1:6" hidden="1" x14ac:dyDescent="0.3">
      <c r="A118" s="18">
        <v>0.1</v>
      </c>
      <c r="B118" s="17">
        <v>175</v>
      </c>
      <c r="C118" s="17">
        <v>10</v>
      </c>
      <c r="D118" s="19">
        <v>345.71800000000002</v>
      </c>
      <c r="E118" s="19">
        <v>3.3250000000000002</v>
      </c>
      <c r="F118" s="38">
        <f t="shared" si="1"/>
        <v>2.8877705500956967</v>
      </c>
    </row>
    <row r="119" spans="1:6" hidden="1" x14ac:dyDescent="0.3">
      <c r="A119" s="18">
        <v>0.1</v>
      </c>
      <c r="B119" s="17">
        <v>175</v>
      </c>
      <c r="C119" s="17">
        <v>15</v>
      </c>
      <c r="D119" s="19">
        <v>389.91590000000002</v>
      </c>
      <c r="E119" s="19">
        <v>3.3275000000000001</v>
      </c>
      <c r="F119" s="38">
        <f t="shared" si="1"/>
        <v>2.8932191737751221</v>
      </c>
    </row>
    <row r="120" spans="1:6" hidden="1" x14ac:dyDescent="0.3">
      <c r="A120" s="18">
        <v>0.1</v>
      </c>
      <c r="B120" s="17">
        <v>175</v>
      </c>
      <c r="C120" s="17">
        <v>20</v>
      </c>
      <c r="D120" s="19">
        <v>367.28440000000001</v>
      </c>
      <c r="E120" s="19">
        <v>3.2875000000000001</v>
      </c>
      <c r="F120" s="38">
        <f t="shared" si="1"/>
        <v>2.8060411949043087</v>
      </c>
    </row>
    <row r="121" spans="1:6" hidden="1" x14ac:dyDescent="0.3">
      <c r="A121" s="18">
        <v>0.1</v>
      </c>
      <c r="B121" s="17">
        <v>175</v>
      </c>
      <c r="C121" s="17">
        <v>25</v>
      </c>
      <c r="D121" s="19">
        <v>365.64729999999997</v>
      </c>
      <c r="E121" s="19">
        <v>3.2575000000000003</v>
      </c>
      <c r="F121" s="38">
        <f t="shared" si="1"/>
        <v>2.7406577107511989</v>
      </c>
    </row>
    <row r="122" spans="1:6" hidden="1" x14ac:dyDescent="0.3">
      <c r="A122" s="18">
        <v>0.1</v>
      </c>
      <c r="B122" s="17">
        <v>200</v>
      </c>
      <c r="C122" s="17">
        <v>5</v>
      </c>
      <c r="D122" s="19">
        <v>393.37139999999999</v>
      </c>
      <c r="E122" s="19">
        <v>3.4020000000000001</v>
      </c>
      <c r="F122" s="38">
        <f t="shared" si="1"/>
        <v>3.0555881594220122</v>
      </c>
    </row>
    <row r="123" spans="1:6" hidden="1" x14ac:dyDescent="0.3">
      <c r="A123" s="18">
        <v>0.1</v>
      </c>
      <c r="B123" s="17">
        <v>200</v>
      </c>
      <c r="C123" s="17">
        <v>10</v>
      </c>
      <c r="D123" s="19">
        <v>374.59969999999998</v>
      </c>
      <c r="E123" s="19">
        <v>3.36</v>
      </c>
      <c r="F123" s="38">
        <f t="shared" si="1"/>
        <v>2.9640512816076576</v>
      </c>
    </row>
    <row r="124" spans="1:6" hidden="1" x14ac:dyDescent="0.3">
      <c r="A124" s="18">
        <v>0.1</v>
      </c>
      <c r="B124" s="17">
        <v>200</v>
      </c>
      <c r="C124" s="17">
        <v>15</v>
      </c>
      <c r="D124" s="19">
        <v>382.89609999999999</v>
      </c>
      <c r="E124" s="19">
        <v>3.3380000000000001</v>
      </c>
      <c r="F124" s="38">
        <f t="shared" si="1"/>
        <v>2.9161033932287106</v>
      </c>
    </row>
    <row r="125" spans="1:6" hidden="1" x14ac:dyDescent="0.3">
      <c r="A125" s="18">
        <v>0.1</v>
      </c>
      <c r="B125" s="17">
        <v>200</v>
      </c>
      <c r="C125" s="17">
        <v>20</v>
      </c>
      <c r="D125" s="19">
        <v>377.95839999999998</v>
      </c>
      <c r="E125" s="19">
        <v>3.3200000000000003</v>
      </c>
      <c r="F125" s="38">
        <f t="shared" si="1"/>
        <v>2.8768733027368452</v>
      </c>
    </row>
    <row r="126" spans="1:6" hidden="1" x14ac:dyDescent="0.3">
      <c r="A126" s="18">
        <v>0.1</v>
      </c>
      <c r="B126" s="17">
        <v>200</v>
      </c>
      <c r="C126" s="17">
        <v>25</v>
      </c>
      <c r="D126" s="19">
        <v>375.19200000000001</v>
      </c>
      <c r="E126" s="19">
        <v>3.2900000000000005</v>
      </c>
      <c r="F126" s="38">
        <f t="shared" si="1"/>
        <v>2.8114898185837354</v>
      </c>
    </row>
    <row r="127" spans="1:6" hidden="1" x14ac:dyDescent="0.3">
      <c r="A127" s="18">
        <v>0.1</v>
      </c>
      <c r="B127" s="17">
        <v>100</v>
      </c>
      <c r="C127" s="17">
        <v>5</v>
      </c>
      <c r="D127" s="19">
        <v>505.75369999999998</v>
      </c>
      <c r="E127" s="19">
        <v>3.3744999999999998</v>
      </c>
      <c r="F127" s="38">
        <f t="shared" si="1"/>
        <v>2.9956532989483273</v>
      </c>
    </row>
    <row r="128" spans="1:6" hidden="1" x14ac:dyDescent="0.3">
      <c r="A128" s="18">
        <v>0.1</v>
      </c>
      <c r="B128" s="17">
        <v>100</v>
      </c>
      <c r="C128" s="17">
        <v>10</v>
      </c>
      <c r="D128" s="19">
        <v>508.339</v>
      </c>
      <c r="E128" s="19">
        <v>3.335</v>
      </c>
      <c r="F128" s="38">
        <f t="shared" si="1"/>
        <v>2.9095650448133994</v>
      </c>
    </row>
    <row r="129" spans="1:6" hidden="1" x14ac:dyDescent="0.3">
      <c r="A129" s="18">
        <v>0.1</v>
      </c>
      <c r="B129" s="17">
        <v>100</v>
      </c>
      <c r="C129" s="17">
        <v>15</v>
      </c>
      <c r="D129" s="19">
        <v>499.8809</v>
      </c>
      <c r="E129" s="19">
        <v>3.28</v>
      </c>
      <c r="F129" s="38">
        <f t="shared" si="1"/>
        <v>2.7896953238660305</v>
      </c>
    </row>
    <row r="130" spans="1:6" hidden="1" x14ac:dyDescent="0.3">
      <c r="A130" s="18">
        <v>0.1</v>
      </c>
      <c r="B130" s="17">
        <v>100</v>
      </c>
      <c r="C130" s="17">
        <v>20</v>
      </c>
      <c r="D130" s="19">
        <v>508.16480000000001</v>
      </c>
      <c r="E130" s="19">
        <v>3.2450000000000001</v>
      </c>
      <c r="F130" s="38">
        <f t="shared" si="1"/>
        <v>2.7134145923540696</v>
      </c>
    </row>
    <row r="131" spans="1:6" hidden="1" x14ac:dyDescent="0.3">
      <c r="A131" s="18">
        <v>0.1</v>
      </c>
      <c r="B131" s="17">
        <v>100</v>
      </c>
      <c r="C131" s="17">
        <v>25</v>
      </c>
      <c r="D131" s="19">
        <v>511.88630000000001</v>
      </c>
      <c r="E131" s="19">
        <v>3.1949999999999998</v>
      </c>
      <c r="F131" s="38">
        <f t="shared" ref="F131:F194" si="2">(E131-2)/(2*SQRT(A131/(2-A131)))</f>
        <v>2.6044421187655522</v>
      </c>
    </row>
    <row r="132" spans="1:6" hidden="1" x14ac:dyDescent="0.3">
      <c r="A132" s="18">
        <v>0.1</v>
      </c>
      <c r="B132" s="17">
        <v>125</v>
      </c>
      <c r="C132" s="17">
        <v>5</v>
      </c>
      <c r="D132" s="19">
        <v>509.33260000000001</v>
      </c>
      <c r="E132" s="19">
        <v>3.4074999999999998</v>
      </c>
      <c r="F132" s="38">
        <f t="shared" si="2"/>
        <v>3.0675751315167483</v>
      </c>
    </row>
    <row r="133" spans="1:6" hidden="1" x14ac:dyDescent="0.3">
      <c r="A133" s="18">
        <v>0.1</v>
      </c>
      <c r="B133" s="17">
        <v>125</v>
      </c>
      <c r="C133" s="17">
        <v>10</v>
      </c>
      <c r="D133" s="19">
        <v>500.29300000000001</v>
      </c>
      <c r="E133" s="19">
        <v>3.3679999999999999</v>
      </c>
      <c r="F133" s="38">
        <f t="shared" si="2"/>
        <v>2.9814868773818204</v>
      </c>
    </row>
    <row r="134" spans="1:6" hidden="1" x14ac:dyDescent="0.3">
      <c r="A134" s="18">
        <v>0.1</v>
      </c>
      <c r="B134" s="17">
        <v>125</v>
      </c>
      <c r="C134" s="17">
        <v>15</v>
      </c>
      <c r="D134" s="19">
        <v>492.35829999999999</v>
      </c>
      <c r="E134" s="19">
        <v>3.33</v>
      </c>
      <c r="F134" s="38">
        <f t="shared" si="2"/>
        <v>2.8986677974545478</v>
      </c>
    </row>
    <row r="135" spans="1:6" hidden="1" x14ac:dyDescent="0.3">
      <c r="A135" s="18">
        <v>0.1</v>
      </c>
      <c r="B135" s="17">
        <v>125</v>
      </c>
      <c r="C135" s="17">
        <v>20</v>
      </c>
      <c r="D135" s="19">
        <v>510.03809999999999</v>
      </c>
      <c r="E135" s="19">
        <v>3.298</v>
      </c>
      <c r="F135" s="38">
        <f t="shared" si="2"/>
        <v>2.8289254143578972</v>
      </c>
    </row>
    <row r="136" spans="1:6" hidden="1" x14ac:dyDescent="0.3">
      <c r="A136" s="18">
        <v>0.1</v>
      </c>
      <c r="B136" s="17">
        <v>125</v>
      </c>
      <c r="C136" s="17">
        <v>25</v>
      </c>
      <c r="D136" s="19">
        <v>528.2346</v>
      </c>
      <c r="E136" s="19">
        <v>3.2679999999999998</v>
      </c>
      <c r="F136" s="38">
        <f t="shared" si="2"/>
        <v>2.7635419302047866</v>
      </c>
    </row>
    <row r="137" spans="1:6" hidden="1" x14ac:dyDescent="0.3">
      <c r="A137" s="18">
        <v>0.1</v>
      </c>
      <c r="B137" s="17">
        <v>150</v>
      </c>
      <c r="C137" s="17">
        <v>5</v>
      </c>
      <c r="D137" s="19">
        <v>498.79570000000001</v>
      </c>
      <c r="E137" s="19">
        <v>3.44</v>
      </c>
      <c r="F137" s="38">
        <f t="shared" si="2"/>
        <v>3.1384072393492848</v>
      </c>
    </row>
    <row r="138" spans="1:6" hidden="1" x14ac:dyDescent="0.3">
      <c r="A138" s="18">
        <v>0.1</v>
      </c>
      <c r="B138" s="17">
        <v>150</v>
      </c>
      <c r="C138" s="17">
        <v>10</v>
      </c>
      <c r="D138" s="19">
        <v>519.07659999999998</v>
      </c>
      <c r="E138" s="19">
        <v>3.4169999999999998</v>
      </c>
      <c r="F138" s="38">
        <f t="shared" si="2"/>
        <v>3.0882799014985669</v>
      </c>
    </row>
    <row r="139" spans="1:6" hidden="1" x14ac:dyDescent="0.3">
      <c r="A139" s="18">
        <v>0.1</v>
      </c>
      <c r="B139" s="17">
        <v>150</v>
      </c>
      <c r="C139" s="17">
        <v>15</v>
      </c>
      <c r="D139" s="19">
        <v>505.95499999999998</v>
      </c>
      <c r="E139" s="19">
        <v>3.3769999999999998</v>
      </c>
      <c r="F139" s="38">
        <f t="shared" si="2"/>
        <v>3.0011019226277531</v>
      </c>
    </row>
    <row r="140" spans="1:6" hidden="1" x14ac:dyDescent="0.3">
      <c r="A140" s="18">
        <v>0.1</v>
      </c>
      <c r="B140" s="17">
        <v>150</v>
      </c>
      <c r="C140" s="17">
        <v>20</v>
      </c>
      <c r="D140" s="19">
        <v>520.7278</v>
      </c>
      <c r="E140" s="19">
        <v>3.347</v>
      </c>
      <c r="F140" s="38">
        <f t="shared" si="2"/>
        <v>2.9357184384746433</v>
      </c>
    </row>
    <row r="141" spans="1:6" hidden="1" x14ac:dyDescent="0.3">
      <c r="A141" s="18">
        <v>0.1</v>
      </c>
      <c r="B141" s="17">
        <v>150</v>
      </c>
      <c r="C141" s="17">
        <v>25</v>
      </c>
      <c r="D141" s="19">
        <v>508.59050000000002</v>
      </c>
      <c r="E141" s="19">
        <v>3.3170000000000002</v>
      </c>
      <c r="F141" s="38">
        <f t="shared" si="2"/>
        <v>2.870334954321534</v>
      </c>
    </row>
    <row r="142" spans="1:6" hidden="1" x14ac:dyDescent="0.3">
      <c r="A142" s="18">
        <v>0.1</v>
      </c>
      <c r="B142" s="17">
        <v>175</v>
      </c>
      <c r="C142" s="17">
        <v>5</v>
      </c>
      <c r="D142" s="19">
        <v>518.77890000000002</v>
      </c>
      <c r="E142" s="19">
        <v>3.4725000000000001</v>
      </c>
      <c r="F142" s="38">
        <f t="shared" si="2"/>
        <v>3.2092393471818212</v>
      </c>
    </row>
    <row r="143" spans="1:6" hidden="1" x14ac:dyDescent="0.3">
      <c r="A143" s="18">
        <v>0.1</v>
      </c>
      <c r="B143" s="17">
        <v>175</v>
      </c>
      <c r="C143" s="17">
        <v>10</v>
      </c>
      <c r="D143" s="19">
        <v>517.59090000000003</v>
      </c>
      <c r="E143" s="19">
        <v>3.43</v>
      </c>
      <c r="F143" s="38">
        <f t="shared" si="2"/>
        <v>3.1166127446315817</v>
      </c>
    </row>
    <row r="144" spans="1:6" hidden="1" x14ac:dyDescent="0.3">
      <c r="A144" s="18">
        <v>0.1</v>
      </c>
      <c r="B144" s="17">
        <v>175</v>
      </c>
      <c r="C144" s="17">
        <v>15</v>
      </c>
      <c r="D144" s="19">
        <v>523.96180000000004</v>
      </c>
      <c r="E144" s="19">
        <v>3.4095</v>
      </c>
      <c r="F144" s="38">
        <f t="shared" si="2"/>
        <v>3.0719340304602896</v>
      </c>
    </row>
    <row r="145" spans="1:6" hidden="1" x14ac:dyDescent="0.3">
      <c r="A145" s="18">
        <v>0.1</v>
      </c>
      <c r="B145" s="17">
        <v>175</v>
      </c>
      <c r="C145" s="17">
        <v>20</v>
      </c>
      <c r="D145" s="19">
        <v>511.57769999999999</v>
      </c>
      <c r="E145" s="19">
        <v>3.3795000000000002</v>
      </c>
      <c r="F145" s="38">
        <f t="shared" si="2"/>
        <v>3.0065505463071798</v>
      </c>
    </row>
    <row r="146" spans="1:6" hidden="1" x14ac:dyDescent="0.3">
      <c r="A146" s="18">
        <v>0.1</v>
      </c>
      <c r="B146" s="17">
        <v>175</v>
      </c>
      <c r="C146" s="17">
        <v>25</v>
      </c>
      <c r="D146" s="19">
        <v>496.90109999999999</v>
      </c>
      <c r="E146" s="19">
        <v>3.3495000000000004</v>
      </c>
      <c r="F146" s="38">
        <f t="shared" si="2"/>
        <v>2.94116706215407</v>
      </c>
    </row>
    <row r="147" spans="1:6" hidden="1" x14ac:dyDescent="0.3">
      <c r="A147" s="18">
        <v>0.1</v>
      </c>
      <c r="B147" s="17">
        <v>200</v>
      </c>
      <c r="C147" s="17">
        <v>5</v>
      </c>
      <c r="D147" s="19">
        <v>530.64449999999999</v>
      </c>
      <c r="E147" s="19">
        <v>3.4950000000000001</v>
      </c>
      <c r="F147" s="38">
        <f t="shared" si="2"/>
        <v>3.2582769602966537</v>
      </c>
    </row>
    <row r="148" spans="1:6" hidden="1" x14ac:dyDescent="0.3">
      <c r="A148" s="18">
        <v>0.1</v>
      </c>
      <c r="B148" s="17">
        <v>200</v>
      </c>
      <c r="C148" s="17">
        <v>10</v>
      </c>
      <c r="D148" s="19">
        <v>503.79880000000003</v>
      </c>
      <c r="E148" s="19">
        <v>3.4430000000000005</v>
      </c>
      <c r="F148" s="38">
        <f t="shared" si="2"/>
        <v>3.1449455877645969</v>
      </c>
    </row>
    <row r="149" spans="1:6" hidden="1" x14ac:dyDescent="0.3">
      <c r="A149" s="18">
        <v>0.1</v>
      </c>
      <c r="B149" s="17">
        <v>200</v>
      </c>
      <c r="C149" s="17">
        <v>15</v>
      </c>
      <c r="D149" s="19">
        <v>514.42819999999995</v>
      </c>
      <c r="E149" s="19">
        <v>3.42</v>
      </c>
      <c r="F149" s="38">
        <f t="shared" si="2"/>
        <v>3.0948182499138781</v>
      </c>
    </row>
    <row r="150" spans="1:6" hidden="1" x14ac:dyDescent="0.3">
      <c r="A150" s="18">
        <v>0.1</v>
      </c>
      <c r="B150" s="17">
        <v>200</v>
      </c>
      <c r="C150" s="17">
        <v>20</v>
      </c>
      <c r="D150" s="19">
        <v>523.07979999999998</v>
      </c>
      <c r="E150" s="19">
        <v>3.4120000000000004</v>
      </c>
      <c r="F150" s="38">
        <f t="shared" si="2"/>
        <v>3.0773826541397162</v>
      </c>
    </row>
    <row r="151" spans="1:6" hidden="1" x14ac:dyDescent="0.3">
      <c r="A151" s="18">
        <v>0.1</v>
      </c>
      <c r="B151" s="17">
        <v>200</v>
      </c>
      <c r="C151" s="17">
        <v>25</v>
      </c>
      <c r="D151" s="19">
        <v>515.13829999999996</v>
      </c>
      <c r="E151" s="19">
        <v>3.3820000000000006</v>
      </c>
      <c r="F151" s="38">
        <f t="shared" si="2"/>
        <v>3.0119991699866064</v>
      </c>
    </row>
    <row r="152" spans="1:6" hidden="1" x14ac:dyDescent="0.3">
      <c r="A152" s="18">
        <v>0.2</v>
      </c>
      <c r="B152" s="17">
        <v>100</v>
      </c>
      <c r="C152" s="17">
        <v>5</v>
      </c>
      <c r="D152" s="19">
        <v>253.6463</v>
      </c>
      <c r="E152" s="19">
        <v>4.09</v>
      </c>
      <c r="F152" s="38">
        <f t="shared" si="2"/>
        <v>3.1349999999999993</v>
      </c>
    </row>
    <row r="153" spans="1:6" hidden="1" x14ac:dyDescent="0.3">
      <c r="A153" s="18">
        <v>0.2</v>
      </c>
      <c r="B153" s="17">
        <v>100</v>
      </c>
      <c r="C153" s="17">
        <v>10</v>
      </c>
      <c r="D153" s="19">
        <v>264.5942</v>
      </c>
      <c r="E153" s="19">
        <v>4.0259999999999998</v>
      </c>
      <c r="F153" s="38">
        <f t="shared" si="2"/>
        <v>3.0389999999999993</v>
      </c>
    </row>
    <row r="154" spans="1:6" hidden="1" x14ac:dyDescent="0.3">
      <c r="A154" s="18">
        <v>0.2</v>
      </c>
      <c r="B154" s="17">
        <v>100</v>
      </c>
      <c r="C154" s="17">
        <v>15</v>
      </c>
      <c r="D154" s="19">
        <v>263.50040000000001</v>
      </c>
      <c r="E154" s="19">
        <v>3.9829999999999997</v>
      </c>
      <c r="F154" s="38">
        <f t="shared" si="2"/>
        <v>2.974499999999999</v>
      </c>
    </row>
    <row r="155" spans="1:6" hidden="1" x14ac:dyDescent="0.3">
      <c r="A155" s="18">
        <v>0.2</v>
      </c>
      <c r="B155" s="17">
        <v>100</v>
      </c>
      <c r="C155" s="17">
        <v>20</v>
      </c>
      <c r="D155" s="19">
        <v>233.54169999999999</v>
      </c>
      <c r="E155" s="19">
        <v>3.87</v>
      </c>
      <c r="F155" s="38">
        <f t="shared" si="2"/>
        <v>2.8049999999999997</v>
      </c>
    </row>
    <row r="156" spans="1:6" hidden="1" x14ac:dyDescent="0.3">
      <c r="A156" s="18">
        <v>0.2</v>
      </c>
      <c r="B156" s="17">
        <v>100</v>
      </c>
      <c r="C156" s="17">
        <v>25</v>
      </c>
      <c r="D156" s="19">
        <v>243.6883</v>
      </c>
      <c r="E156" s="19">
        <v>3.8250000000000002</v>
      </c>
      <c r="F156" s="38">
        <f t="shared" si="2"/>
        <v>2.7374999999999998</v>
      </c>
    </row>
    <row r="157" spans="1:6" hidden="1" x14ac:dyDescent="0.3">
      <c r="A157" s="18">
        <v>0.2</v>
      </c>
      <c r="B157" s="17">
        <v>125</v>
      </c>
      <c r="C157" s="17">
        <v>5</v>
      </c>
      <c r="D157" s="19">
        <v>262.63600000000002</v>
      </c>
      <c r="E157" s="19">
        <v>4.1439189999999995</v>
      </c>
      <c r="F157" s="38">
        <f t="shared" si="2"/>
        <v>3.2158784999999988</v>
      </c>
    </row>
    <row r="158" spans="1:6" hidden="1" x14ac:dyDescent="0.3">
      <c r="A158" s="18">
        <v>0.2</v>
      </c>
      <c r="B158" s="17">
        <v>125</v>
      </c>
      <c r="C158" s="17">
        <v>10</v>
      </c>
      <c r="D158" s="19">
        <v>259.98970000000003</v>
      </c>
      <c r="E158" s="19">
        <v>4.0830000000000002</v>
      </c>
      <c r="F158" s="38">
        <f t="shared" si="2"/>
        <v>3.1244999999999998</v>
      </c>
    </row>
    <row r="159" spans="1:6" hidden="1" x14ac:dyDescent="0.3">
      <c r="A159" s="18">
        <v>0.2</v>
      </c>
      <c r="B159" s="17">
        <v>125</v>
      </c>
      <c r="C159" s="17">
        <v>15</v>
      </c>
      <c r="D159" s="19">
        <v>242.7835</v>
      </c>
      <c r="E159" s="19">
        <v>4</v>
      </c>
      <c r="F159" s="38">
        <f t="shared" si="2"/>
        <v>2.9999999999999996</v>
      </c>
    </row>
    <row r="160" spans="1:6" hidden="1" x14ac:dyDescent="0.3">
      <c r="A160" s="18">
        <v>0.2</v>
      </c>
      <c r="B160" s="17">
        <v>125</v>
      </c>
      <c r="C160" s="17">
        <v>20</v>
      </c>
      <c r="D160" s="19">
        <v>252.3348</v>
      </c>
      <c r="E160" s="19">
        <v>3.9750000000000005</v>
      </c>
      <c r="F160" s="38">
        <f t="shared" si="2"/>
        <v>2.9625000000000004</v>
      </c>
    </row>
    <row r="161" spans="1:6" hidden="1" x14ac:dyDescent="0.3">
      <c r="A161" s="18">
        <v>0.2</v>
      </c>
      <c r="B161" s="17">
        <v>125</v>
      </c>
      <c r="C161" s="17">
        <v>25</v>
      </c>
      <c r="D161" s="19">
        <v>256.82209999999998</v>
      </c>
      <c r="E161" s="19">
        <v>3.9330000000000003</v>
      </c>
      <c r="F161" s="38">
        <f t="shared" si="2"/>
        <v>2.8995000000000002</v>
      </c>
    </row>
    <row r="162" spans="1:6" hidden="1" x14ac:dyDescent="0.3">
      <c r="A162" s="18">
        <v>0.2</v>
      </c>
      <c r="B162" s="17">
        <v>150</v>
      </c>
      <c r="C162" s="17">
        <v>5</v>
      </c>
      <c r="D162" s="19">
        <v>266.66329999999999</v>
      </c>
      <c r="E162" s="19">
        <v>4.1951719999999995</v>
      </c>
      <c r="F162" s="38">
        <f t="shared" si="2"/>
        <v>3.2927579999999987</v>
      </c>
    </row>
    <row r="163" spans="1:6" hidden="1" x14ac:dyDescent="0.3">
      <c r="A163" s="18">
        <v>0.2</v>
      </c>
      <c r="B163" s="17">
        <v>150</v>
      </c>
      <c r="C163" s="17">
        <v>10</v>
      </c>
      <c r="D163" s="19">
        <v>233.89230000000001</v>
      </c>
      <c r="E163" s="19">
        <v>4.0780000000000003</v>
      </c>
      <c r="F163" s="38">
        <f t="shared" si="2"/>
        <v>3.117</v>
      </c>
    </row>
    <row r="164" spans="1:6" hidden="1" x14ac:dyDescent="0.3">
      <c r="A164" s="18">
        <v>0.2</v>
      </c>
      <c r="B164" s="17">
        <v>150</v>
      </c>
      <c r="C164" s="17">
        <v>15</v>
      </c>
      <c r="D164" s="19">
        <v>240.67920000000001</v>
      </c>
      <c r="E164" s="19">
        <v>4.0500000000000007</v>
      </c>
      <c r="F164" s="38">
        <f t="shared" si="2"/>
        <v>3.0750000000000006</v>
      </c>
    </row>
    <row r="165" spans="1:6" hidden="1" x14ac:dyDescent="0.3">
      <c r="A165" s="18">
        <v>0.2</v>
      </c>
      <c r="B165" s="17">
        <v>150</v>
      </c>
      <c r="C165" s="17">
        <v>20</v>
      </c>
      <c r="D165" s="19">
        <v>257.3578</v>
      </c>
      <c r="E165" s="19">
        <v>4.0349999999999993</v>
      </c>
      <c r="F165" s="38">
        <f t="shared" si="2"/>
        <v>3.0524999999999984</v>
      </c>
    </row>
    <row r="166" spans="1:6" hidden="1" x14ac:dyDescent="0.3">
      <c r="A166" s="18">
        <v>0.2</v>
      </c>
      <c r="B166" s="17">
        <v>150</v>
      </c>
      <c r="C166" s="17">
        <v>25</v>
      </c>
      <c r="D166" s="19">
        <v>267.7337</v>
      </c>
      <c r="E166" s="19">
        <v>4.0199999999999996</v>
      </c>
      <c r="F166" s="38">
        <f t="shared" si="2"/>
        <v>3.0299999999999989</v>
      </c>
    </row>
    <row r="167" spans="1:6" hidden="1" x14ac:dyDescent="0.3">
      <c r="A167" s="18">
        <v>0.2</v>
      </c>
      <c r="B167" s="17">
        <v>175</v>
      </c>
      <c r="C167" s="17">
        <v>5</v>
      </c>
      <c r="D167" s="19">
        <v>261.61380000000003</v>
      </c>
      <c r="E167" s="19">
        <v>4.226</v>
      </c>
      <c r="F167" s="38">
        <f t="shared" si="2"/>
        <v>3.3389999999999995</v>
      </c>
    </row>
    <row r="168" spans="1:6" hidden="1" x14ac:dyDescent="0.3">
      <c r="A168" s="18">
        <v>0.2</v>
      </c>
      <c r="B168" s="17">
        <v>175</v>
      </c>
      <c r="C168" s="17">
        <v>10</v>
      </c>
      <c r="D168" s="19">
        <v>249.11009999999999</v>
      </c>
      <c r="E168" s="19">
        <v>4.1397400000000015</v>
      </c>
      <c r="F168" s="38">
        <f t="shared" si="2"/>
        <v>3.2096100000000019</v>
      </c>
    </row>
    <row r="169" spans="1:6" hidden="1" x14ac:dyDescent="0.3">
      <c r="A169" s="18">
        <v>0.2</v>
      </c>
      <c r="B169" s="17">
        <v>175</v>
      </c>
      <c r="C169" s="17">
        <v>15</v>
      </c>
      <c r="D169" s="19">
        <v>260.24130000000002</v>
      </c>
      <c r="E169" s="19">
        <v>4.104000000000001</v>
      </c>
      <c r="F169" s="38">
        <f t="shared" si="2"/>
        <v>3.156000000000001</v>
      </c>
    </row>
    <row r="170" spans="1:6" hidden="1" x14ac:dyDescent="0.3">
      <c r="A170" s="18">
        <v>0.2</v>
      </c>
      <c r="B170" s="17">
        <v>175</v>
      </c>
      <c r="C170" s="17">
        <v>20</v>
      </c>
      <c r="D170" s="19">
        <v>262.83780000000002</v>
      </c>
      <c r="E170" s="19">
        <v>4.08</v>
      </c>
      <c r="F170" s="38">
        <f t="shared" si="2"/>
        <v>3.1199999999999997</v>
      </c>
    </row>
    <row r="171" spans="1:6" hidden="1" x14ac:dyDescent="0.3">
      <c r="A171" s="18">
        <v>0.2</v>
      </c>
      <c r="B171" s="17">
        <v>175</v>
      </c>
      <c r="C171" s="17">
        <v>25</v>
      </c>
      <c r="D171" s="19">
        <v>257.0521</v>
      </c>
      <c r="E171" s="19">
        <v>4.04</v>
      </c>
      <c r="F171" s="38">
        <f t="shared" si="2"/>
        <v>3.0599999999999996</v>
      </c>
    </row>
    <row r="172" spans="1:6" hidden="1" x14ac:dyDescent="0.3">
      <c r="A172" s="18">
        <v>0.2</v>
      </c>
      <c r="B172" s="17">
        <v>200</v>
      </c>
      <c r="C172" s="17">
        <v>5</v>
      </c>
      <c r="D172" s="19">
        <v>260.20190000000002</v>
      </c>
      <c r="E172" s="19">
        <v>4.24</v>
      </c>
      <c r="F172" s="38">
        <f t="shared" si="2"/>
        <v>3.36</v>
      </c>
    </row>
    <row r="173" spans="1:6" hidden="1" x14ac:dyDescent="0.3">
      <c r="A173" s="18">
        <v>0.2</v>
      </c>
      <c r="B173" s="17">
        <v>200</v>
      </c>
      <c r="C173" s="17">
        <v>10</v>
      </c>
      <c r="D173" s="19">
        <v>249.0772</v>
      </c>
      <c r="E173" s="19">
        <v>4.1580980000000016</v>
      </c>
      <c r="F173" s="38">
        <f t="shared" si="2"/>
        <v>3.237147000000002</v>
      </c>
    </row>
    <row r="174" spans="1:6" hidden="1" x14ac:dyDescent="0.3">
      <c r="A174" s="18">
        <v>0.2</v>
      </c>
      <c r="B174" s="17">
        <v>200</v>
      </c>
      <c r="C174" s="17">
        <v>15</v>
      </c>
      <c r="D174" s="19">
        <v>258.44589999999999</v>
      </c>
      <c r="E174" s="19">
        <v>4.1340000000000003</v>
      </c>
      <c r="F174" s="38">
        <f t="shared" si="2"/>
        <v>3.2010000000000001</v>
      </c>
    </row>
    <row r="175" spans="1:6" hidden="1" x14ac:dyDescent="0.3">
      <c r="A175" s="18">
        <v>0.2</v>
      </c>
      <c r="B175" s="17">
        <v>200</v>
      </c>
      <c r="C175" s="17">
        <v>20</v>
      </c>
      <c r="D175" s="19">
        <v>242.5231</v>
      </c>
      <c r="E175" s="19">
        <v>4.09</v>
      </c>
      <c r="F175" s="38">
        <f t="shared" si="2"/>
        <v>3.1349999999999993</v>
      </c>
    </row>
    <row r="176" spans="1:6" hidden="1" x14ac:dyDescent="0.3">
      <c r="A176" s="18">
        <v>0.2</v>
      </c>
      <c r="B176" s="17">
        <v>200</v>
      </c>
      <c r="C176" s="17">
        <v>25</v>
      </c>
      <c r="D176" s="19">
        <v>254.7664</v>
      </c>
      <c r="E176" s="19">
        <v>4.0880000000000001</v>
      </c>
      <c r="F176" s="38">
        <f t="shared" si="2"/>
        <v>3.1319999999999997</v>
      </c>
    </row>
    <row r="177" spans="1:6" hidden="1" x14ac:dyDescent="0.3">
      <c r="A177" s="18">
        <v>0.2</v>
      </c>
      <c r="B177" s="17">
        <v>100</v>
      </c>
      <c r="C177" s="17">
        <v>5</v>
      </c>
      <c r="D177" s="19">
        <v>373.77010000000001</v>
      </c>
      <c r="E177" s="19">
        <v>4.25</v>
      </c>
      <c r="F177" s="38">
        <f t="shared" si="2"/>
        <v>3.3749999999999996</v>
      </c>
    </row>
    <row r="178" spans="1:6" hidden="1" x14ac:dyDescent="0.3">
      <c r="A178" s="18">
        <v>0.2</v>
      </c>
      <c r="B178" s="17">
        <v>100</v>
      </c>
      <c r="C178" s="17">
        <v>10</v>
      </c>
      <c r="D178" s="19">
        <v>380.10230000000001</v>
      </c>
      <c r="E178" s="19">
        <v>4.1749999999999998</v>
      </c>
      <c r="F178" s="38">
        <f t="shared" si="2"/>
        <v>3.2624999999999993</v>
      </c>
    </row>
    <row r="179" spans="1:6" hidden="1" x14ac:dyDescent="0.3">
      <c r="A179" s="18">
        <v>0.2</v>
      </c>
      <c r="B179" s="17">
        <v>100</v>
      </c>
      <c r="C179" s="17">
        <v>15</v>
      </c>
      <c r="D179" s="19">
        <v>368.7851</v>
      </c>
      <c r="E179" s="19">
        <v>4.1029999999999998</v>
      </c>
      <c r="F179" s="38">
        <f t="shared" si="2"/>
        <v>3.1544999999999992</v>
      </c>
    </row>
    <row r="180" spans="1:6" hidden="1" x14ac:dyDescent="0.3">
      <c r="A180" s="18">
        <v>0.2</v>
      </c>
      <c r="B180" s="17">
        <v>100</v>
      </c>
      <c r="C180" s="17">
        <v>20</v>
      </c>
      <c r="D180" s="19">
        <v>348.17509999999999</v>
      </c>
      <c r="E180" s="19">
        <v>4.0199999999999996</v>
      </c>
      <c r="F180" s="38">
        <f t="shared" si="2"/>
        <v>3.0299999999999989</v>
      </c>
    </row>
    <row r="181" spans="1:6" hidden="1" x14ac:dyDescent="0.3">
      <c r="A181" s="18">
        <v>0.2</v>
      </c>
      <c r="B181" s="17">
        <v>100</v>
      </c>
      <c r="C181" s="17">
        <v>25</v>
      </c>
      <c r="D181" s="19">
        <v>367.16879999999998</v>
      </c>
      <c r="E181" s="19">
        <v>3.97</v>
      </c>
      <c r="F181" s="38">
        <f t="shared" si="2"/>
        <v>2.9550000000000001</v>
      </c>
    </row>
    <row r="182" spans="1:6" hidden="1" x14ac:dyDescent="0.3">
      <c r="A182" s="18">
        <v>0.2</v>
      </c>
      <c r="B182" s="17">
        <v>125</v>
      </c>
      <c r="C182" s="17">
        <v>5</v>
      </c>
      <c r="D182" s="19">
        <v>362.56209999999999</v>
      </c>
      <c r="E182" s="19">
        <v>4.3039189999999996</v>
      </c>
      <c r="F182" s="38">
        <f t="shared" si="2"/>
        <v>3.455878499999999</v>
      </c>
    </row>
    <row r="183" spans="1:6" hidden="1" x14ac:dyDescent="0.3">
      <c r="A183" s="18">
        <v>0.2</v>
      </c>
      <c r="B183" s="17">
        <v>125</v>
      </c>
      <c r="C183" s="17">
        <v>10</v>
      </c>
      <c r="D183" s="19">
        <v>377.04270000000002</v>
      </c>
      <c r="E183" s="19">
        <v>4.2320000000000002</v>
      </c>
      <c r="F183" s="38">
        <f t="shared" si="2"/>
        <v>3.3479999999999999</v>
      </c>
    </row>
    <row r="184" spans="1:6" hidden="1" x14ac:dyDescent="0.3">
      <c r="A184" s="18">
        <v>0.2</v>
      </c>
      <c r="B184" s="17">
        <v>125</v>
      </c>
      <c r="C184" s="17">
        <v>15</v>
      </c>
      <c r="D184" s="19">
        <v>376.29770000000002</v>
      </c>
      <c r="E184" s="19">
        <v>4.1819999999999995</v>
      </c>
      <c r="F184" s="38">
        <f t="shared" si="2"/>
        <v>3.2729999999999988</v>
      </c>
    </row>
    <row r="185" spans="1:6" hidden="1" x14ac:dyDescent="0.3">
      <c r="A185" s="18">
        <v>0.2</v>
      </c>
      <c r="B185" s="17">
        <v>125</v>
      </c>
      <c r="C185" s="17">
        <v>20</v>
      </c>
      <c r="D185" s="19">
        <v>368.77609999999999</v>
      </c>
      <c r="E185" s="19">
        <v>4.125</v>
      </c>
      <c r="F185" s="38">
        <f t="shared" si="2"/>
        <v>3.1874999999999996</v>
      </c>
    </row>
    <row r="186" spans="1:6" hidden="1" x14ac:dyDescent="0.3">
      <c r="A186" s="18">
        <v>0.2</v>
      </c>
      <c r="B186" s="17">
        <v>125</v>
      </c>
      <c r="C186" s="17">
        <v>25</v>
      </c>
      <c r="D186" s="19">
        <v>377.76060000000001</v>
      </c>
      <c r="E186" s="19">
        <v>4.0780000000000003</v>
      </c>
      <c r="F186" s="38">
        <f t="shared" si="2"/>
        <v>3.117</v>
      </c>
    </row>
    <row r="187" spans="1:6" hidden="1" x14ac:dyDescent="0.3">
      <c r="A187" s="18">
        <v>0.2</v>
      </c>
      <c r="B187" s="17">
        <v>150</v>
      </c>
      <c r="C187" s="17">
        <v>5</v>
      </c>
      <c r="D187" s="19">
        <v>356.6284</v>
      </c>
      <c r="E187" s="19">
        <v>4.3551719999999996</v>
      </c>
      <c r="F187" s="38">
        <f t="shared" si="2"/>
        <v>3.532757999999999</v>
      </c>
    </row>
    <row r="188" spans="1:6" hidden="1" x14ac:dyDescent="0.3">
      <c r="A188" s="18">
        <v>0.2</v>
      </c>
      <c r="B188" s="17">
        <v>150</v>
      </c>
      <c r="C188" s="17">
        <v>10</v>
      </c>
      <c r="D188" s="19">
        <v>346.29219999999998</v>
      </c>
      <c r="E188" s="19">
        <v>4.25</v>
      </c>
      <c r="F188" s="38">
        <f t="shared" si="2"/>
        <v>3.3749999999999996</v>
      </c>
    </row>
    <row r="189" spans="1:6" hidden="1" x14ac:dyDescent="0.3">
      <c r="A189" s="18">
        <v>0.2</v>
      </c>
      <c r="B189" s="17">
        <v>150</v>
      </c>
      <c r="C189" s="17">
        <v>15</v>
      </c>
      <c r="D189" s="19">
        <v>341.87209999999999</v>
      </c>
      <c r="E189" s="19">
        <v>4.2080000000000002</v>
      </c>
      <c r="F189" s="38">
        <f t="shared" si="2"/>
        <v>3.3119999999999998</v>
      </c>
    </row>
    <row r="190" spans="1:6" hidden="1" x14ac:dyDescent="0.3">
      <c r="A190" s="18">
        <v>0.2</v>
      </c>
      <c r="B190" s="17">
        <v>150</v>
      </c>
      <c r="C190" s="17">
        <v>20</v>
      </c>
      <c r="D190" s="19">
        <v>357.27980000000002</v>
      </c>
      <c r="E190" s="19">
        <v>4.1749999999999998</v>
      </c>
      <c r="F190" s="38">
        <f t="shared" si="2"/>
        <v>3.2624999999999993</v>
      </c>
    </row>
    <row r="191" spans="1:6" hidden="1" x14ac:dyDescent="0.3">
      <c r="A191" s="18">
        <v>0.2</v>
      </c>
      <c r="B191" s="17">
        <v>150</v>
      </c>
      <c r="C191" s="17">
        <v>25</v>
      </c>
      <c r="D191" s="19">
        <v>374.41800000000001</v>
      </c>
      <c r="E191" s="19">
        <v>4.1550000000000002</v>
      </c>
      <c r="F191" s="38">
        <f t="shared" si="2"/>
        <v>3.2324999999999999</v>
      </c>
    </row>
    <row r="192" spans="1:6" hidden="1" x14ac:dyDescent="0.3">
      <c r="A192" s="18">
        <v>0.2</v>
      </c>
      <c r="B192" s="17">
        <v>175</v>
      </c>
      <c r="C192" s="17">
        <v>5</v>
      </c>
      <c r="D192" s="19">
        <v>376.08909999999997</v>
      </c>
      <c r="E192" s="19">
        <v>4.4064249999999996</v>
      </c>
      <c r="F192" s="38">
        <f t="shared" si="2"/>
        <v>3.6096374999999989</v>
      </c>
    </row>
    <row r="193" spans="1:6" hidden="1" x14ac:dyDescent="0.3">
      <c r="A193" s="18">
        <v>0.2</v>
      </c>
      <c r="B193" s="17">
        <v>175</v>
      </c>
      <c r="C193" s="17">
        <v>10</v>
      </c>
      <c r="D193" s="19">
        <v>370.8365</v>
      </c>
      <c r="E193" s="19">
        <v>4.3117400000000012</v>
      </c>
      <c r="F193" s="38">
        <f t="shared" si="2"/>
        <v>3.4676100000000014</v>
      </c>
    </row>
    <row r="194" spans="1:6" hidden="1" x14ac:dyDescent="0.3">
      <c r="A194" s="18">
        <v>0.2</v>
      </c>
      <c r="B194" s="17">
        <v>175</v>
      </c>
      <c r="C194" s="17">
        <v>15</v>
      </c>
      <c r="D194" s="19">
        <v>351.47829999999999</v>
      </c>
      <c r="E194" s="19">
        <v>4.2620000000000005</v>
      </c>
      <c r="F194" s="38">
        <f t="shared" si="2"/>
        <v>3.3930000000000002</v>
      </c>
    </row>
    <row r="195" spans="1:6" hidden="1" x14ac:dyDescent="0.3">
      <c r="A195" s="18">
        <v>0.2</v>
      </c>
      <c r="B195" s="17">
        <v>175</v>
      </c>
      <c r="C195" s="17">
        <v>20</v>
      </c>
      <c r="D195" s="19">
        <v>379.81310000000002</v>
      </c>
      <c r="E195" s="19">
        <v>4.24</v>
      </c>
      <c r="F195" s="38">
        <f t="shared" ref="F195:F226" si="3">(E195-2)/(2*SQRT(A195/(2-A195)))</f>
        <v>3.36</v>
      </c>
    </row>
    <row r="196" spans="1:6" hidden="1" x14ac:dyDescent="0.3">
      <c r="A196" s="18">
        <v>0.2</v>
      </c>
      <c r="B196" s="17">
        <v>175</v>
      </c>
      <c r="C196" s="17">
        <v>25</v>
      </c>
      <c r="D196" s="19">
        <v>383.67689999999999</v>
      </c>
      <c r="E196" s="19">
        <v>4.2080000000000002</v>
      </c>
      <c r="F196" s="38">
        <f t="shared" si="3"/>
        <v>3.3119999999999998</v>
      </c>
    </row>
    <row r="197" spans="1:6" hidden="1" x14ac:dyDescent="0.3">
      <c r="A197" s="18">
        <v>0.2</v>
      </c>
      <c r="B197" s="17">
        <v>200</v>
      </c>
      <c r="C197" s="17">
        <v>5</v>
      </c>
      <c r="D197" s="19">
        <v>377.18279999999999</v>
      </c>
      <c r="E197" s="19">
        <v>4.4399999999999995</v>
      </c>
      <c r="F197" s="38">
        <f t="shared" si="3"/>
        <v>3.6599999999999988</v>
      </c>
    </row>
    <row r="198" spans="1:6" hidden="1" x14ac:dyDescent="0.3">
      <c r="A198" s="18">
        <v>0.2</v>
      </c>
      <c r="B198" s="17">
        <v>200</v>
      </c>
      <c r="C198" s="17">
        <v>10</v>
      </c>
      <c r="D198" s="19">
        <v>361.14839999999998</v>
      </c>
      <c r="E198" s="19">
        <v>4.3300980000000013</v>
      </c>
      <c r="F198" s="38">
        <f t="shared" si="3"/>
        <v>3.4951470000000016</v>
      </c>
    </row>
    <row r="199" spans="1:6" hidden="1" x14ac:dyDescent="0.3">
      <c r="A199" s="18">
        <v>0.2</v>
      </c>
      <c r="B199" s="17">
        <v>200</v>
      </c>
      <c r="C199" s="17">
        <v>15</v>
      </c>
      <c r="D199" s="19">
        <v>377.56599999999997</v>
      </c>
      <c r="E199" s="19">
        <v>4.3121680000000007</v>
      </c>
      <c r="F199" s="38">
        <f t="shared" si="3"/>
        <v>3.4682520000000006</v>
      </c>
    </row>
    <row r="200" spans="1:6" hidden="1" x14ac:dyDescent="0.3">
      <c r="A200" s="18">
        <v>0.2</v>
      </c>
      <c r="B200" s="17">
        <v>200</v>
      </c>
      <c r="C200" s="17">
        <v>20</v>
      </c>
      <c r="D200" s="19">
        <v>389.16480000000001</v>
      </c>
      <c r="E200" s="19">
        <v>4.2949999999999999</v>
      </c>
      <c r="F200" s="38">
        <f t="shared" si="3"/>
        <v>3.4424999999999994</v>
      </c>
    </row>
    <row r="201" spans="1:6" hidden="1" x14ac:dyDescent="0.3">
      <c r="A201" s="18">
        <v>0.2</v>
      </c>
      <c r="B201" s="17">
        <v>200</v>
      </c>
      <c r="C201" s="17">
        <v>25</v>
      </c>
      <c r="D201" s="19">
        <v>381.37220000000002</v>
      </c>
      <c r="E201" s="19">
        <v>4.2450000000000001</v>
      </c>
      <c r="F201" s="38">
        <f t="shared" si="3"/>
        <v>3.3674999999999997</v>
      </c>
    </row>
    <row r="202" spans="1:6" hidden="1" x14ac:dyDescent="0.3">
      <c r="A202" s="18">
        <v>0.2</v>
      </c>
      <c r="B202" s="17">
        <v>100</v>
      </c>
      <c r="C202" s="17">
        <v>5</v>
      </c>
      <c r="D202" s="19">
        <v>498.86989999999997</v>
      </c>
      <c r="E202" s="19">
        <v>4.41</v>
      </c>
      <c r="F202" s="38">
        <f t="shared" si="3"/>
        <v>3.6149999999999998</v>
      </c>
    </row>
    <row r="203" spans="1:6" hidden="1" x14ac:dyDescent="0.3">
      <c r="A203" s="18">
        <v>0.2</v>
      </c>
      <c r="B203" s="17">
        <v>100</v>
      </c>
      <c r="C203" s="17">
        <v>10</v>
      </c>
      <c r="D203" s="19">
        <v>513.41989999999998</v>
      </c>
      <c r="E203" s="19">
        <v>4.3040000000000003</v>
      </c>
      <c r="F203" s="38">
        <f t="shared" si="3"/>
        <v>3.456</v>
      </c>
    </row>
    <row r="204" spans="1:6" hidden="1" x14ac:dyDescent="0.3">
      <c r="A204" s="18">
        <v>0.2</v>
      </c>
      <c r="B204" s="17">
        <v>100</v>
      </c>
      <c r="C204" s="17">
        <v>15</v>
      </c>
      <c r="D204" s="19">
        <v>492.37040000000002</v>
      </c>
      <c r="E204" s="19">
        <v>4.2229999999999999</v>
      </c>
      <c r="F204" s="38">
        <f t="shared" si="3"/>
        <v>3.3344999999999994</v>
      </c>
    </row>
    <row r="205" spans="1:6" hidden="1" x14ac:dyDescent="0.3">
      <c r="A205" s="18">
        <v>0.2</v>
      </c>
      <c r="B205" s="17">
        <v>100</v>
      </c>
      <c r="C205" s="17">
        <v>20</v>
      </c>
      <c r="D205" s="19">
        <v>523.36030000000005</v>
      </c>
      <c r="E205" s="19">
        <v>4.1900000000000004</v>
      </c>
      <c r="F205" s="38">
        <f t="shared" si="3"/>
        <v>3.2850000000000001</v>
      </c>
    </row>
    <row r="206" spans="1:6" hidden="1" x14ac:dyDescent="0.3">
      <c r="A206" s="18">
        <v>0.2</v>
      </c>
      <c r="B206" s="17">
        <v>100</v>
      </c>
      <c r="C206" s="17">
        <v>25</v>
      </c>
      <c r="D206" s="19">
        <v>517.10050000000001</v>
      </c>
      <c r="E206" s="19">
        <v>4.1150000000000002</v>
      </c>
      <c r="F206" s="38">
        <f t="shared" si="3"/>
        <v>3.1724999999999999</v>
      </c>
    </row>
    <row r="207" spans="1:6" hidden="1" x14ac:dyDescent="0.3">
      <c r="A207" s="18">
        <v>0.2</v>
      </c>
      <c r="B207" s="17">
        <v>125</v>
      </c>
      <c r="C207" s="17">
        <v>5</v>
      </c>
      <c r="D207" s="19">
        <v>494.40620000000001</v>
      </c>
      <c r="E207" s="19">
        <v>4.4639189999999997</v>
      </c>
      <c r="F207" s="38">
        <f t="shared" si="3"/>
        <v>3.6958784999999992</v>
      </c>
    </row>
    <row r="208" spans="1:6" hidden="1" x14ac:dyDescent="0.3">
      <c r="A208" s="18">
        <v>0.2</v>
      </c>
      <c r="B208" s="17">
        <v>125</v>
      </c>
      <c r="C208" s="17">
        <v>10</v>
      </c>
      <c r="D208" s="19">
        <v>516.40830000000005</v>
      </c>
      <c r="E208" s="19">
        <v>4.3810000000000002</v>
      </c>
      <c r="F208" s="38">
        <f t="shared" si="3"/>
        <v>3.5714999999999999</v>
      </c>
    </row>
    <row r="209" spans="1:6" hidden="1" x14ac:dyDescent="0.3">
      <c r="A209" s="18">
        <v>0.2</v>
      </c>
      <c r="B209" s="17">
        <v>125</v>
      </c>
      <c r="C209" s="17">
        <v>15</v>
      </c>
      <c r="D209" s="19">
        <v>497.25920000000002</v>
      </c>
      <c r="E209" s="19">
        <v>4.3019999999999996</v>
      </c>
      <c r="F209" s="38">
        <f t="shared" si="3"/>
        <v>3.452999999999999</v>
      </c>
    </row>
    <row r="210" spans="1:6" hidden="1" x14ac:dyDescent="0.3">
      <c r="A210" s="18">
        <v>0.2</v>
      </c>
      <c r="B210" s="17">
        <v>125</v>
      </c>
      <c r="C210" s="17">
        <v>20</v>
      </c>
      <c r="D210" s="19">
        <v>522.50869999999998</v>
      </c>
      <c r="E210" s="19">
        <v>4.2750000000000004</v>
      </c>
      <c r="F210" s="38">
        <f t="shared" si="3"/>
        <v>3.4125000000000001</v>
      </c>
    </row>
    <row r="211" spans="1:6" hidden="1" x14ac:dyDescent="0.3">
      <c r="A211" s="18">
        <v>0.2</v>
      </c>
      <c r="B211" s="17">
        <v>125</v>
      </c>
      <c r="C211" s="17">
        <v>25</v>
      </c>
      <c r="D211" s="19">
        <v>506.73970000000003</v>
      </c>
      <c r="E211" s="19">
        <v>4.2080000000000002</v>
      </c>
      <c r="F211" s="38">
        <f t="shared" si="3"/>
        <v>3.3119999999999998</v>
      </c>
    </row>
    <row r="212" spans="1:6" hidden="1" x14ac:dyDescent="0.3">
      <c r="A212" s="18">
        <v>0.2</v>
      </c>
      <c r="B212" s="17">
        <v>150</v>
      </c>
      <c r="C212" s="17">
        <v>5</v>
      </c>
      <c r="D212" s="19">
        <v>487.69760000000002</v>
      </c>
      <c r="E212" s="19">
        <v>4.5151719999999997</v>
      </c>
      <c r="F212" s="38">
        <f t="shared" si="3"/>
        <v>3.7727579999999992</v>
      </c>
    </row>
    <row r="213" spans="1:6" hidden="1" x14ac:dyDescent="0.3">
      <c r="A213" s="18">
        <v>0.2</v>
      </c>
      <c r="B213" s="17">
        <v>150</v>
      </c>
      <c r="C213" s="17">
        <v>10</v>
      </c>
      <c r="D213" s="19">
        <v>520.25250000000005</v>
      </c>
      <c r="E213" s="19">
        <v>4.4219999999999997</v>
      </c>
      <c r="F213" s="38">
        <f t="shared" si="3"/>
        <v>3.6329999999999991</v>
      </c>
    </row>
    <row r="214" spans="1:6" hidden="1" x14ac:dyDescent="0.3">
      <c r="A214" s="18">
        <v>0.2</v>
      </c>
      <c r="B214" s="17">
        <v>150</v>
      </c>
      <c r="C214" s="17">
        <v>15</v>
      </c>
      <c r="D214" s="19">
        <v>520.50559999999996</v>
      </c>
      <c r="E214" s="19">
        <v>4.3659999999999997</v>
      </c>
      <c r="F214" s="38">
        <f t="shared" si="3"/>
        <v>3.548999999999999</v>
      </c>
    </row>
    <row r="215" spans="1:6" hidden="1" x14ac:dyDescent="0.3">
      <c r="A215" s="18">
        <v>0.2</v>
      </c>
      <c r="B215" s="17">
        <v>150</v>
      </c>
      <c r="C215" s="17">
        <v>20</v>
      </c>
      <c r="D215" s="19">
        <v>498.03359999999998</v>
      </c>
      <c r="E215" s="19">
        <v>4.3150000000000004</v>
      </c>
      <c r="F215" s="38">
        <f t="shared" si="3"/>
        <v>3.4725000000000001</v>
      </c>
    </row>
    <row r="216" spans="1:6" hidden="1" x14ac:dyDescent="0.3">
      <c r="A216" s="18">
        <v>0.2</v>
      </c>
      <c r="B216" s="17">
        <v>150</v>
      </c>
      <c r="C216" s="17">
        <v>25</v>
      </c>
      <c r="D216" s="19">
        <v>501.75830000000002</v>
      </c>
      <c r="E216" s="19">
        <v>4.2649999999999997</v>
      </c>
      <c r="F216" s="38">
        <f t="shared" si="3"/>
        <v>3.3974999999999991</v>
      </c>
    </row>
    <row r="217" spans="1:6" hidden="1" x14ac:dyDescent="0.3">
      <c r="A217" s="18">
        <v>0.2</v>
      </c>
      <c r="B217" s="17">
        <v>175</v>
      </c>
      <c r="C217" s="17">
        <v>5</v>
      </c>
      <c r="D217" s="19">
        <v>507.53480000000002</v>
      </c>
      <c r="E217" s="19">
        <v>4.5664249999999997</v>
      </c>
      <c r="F217" s="38">
        <f t="shared" si="3"/>
        <v>3.8496374999999992</v>
      </c>
    </row>
    <row r="218" spans="1:6" hidden="1" x14ac:dyDescent="0.3">
      <c r="A218" s="18">
        <v>0.2</v>
      </c>
      <c r="B218" s="17">
        <v>175</v>
      </c>
      <c r="C218" s="17">
        <v>10</v>
      </c>
      <c r="D218" s="19">
        <v>517.87689999999998</v>
      </c>
      <c r="E218" s="19">
        <v>4.4837400000000009</v>
      </c>
      <c r="F218" s="38">
        <f t="shared" si="3"/>
        <v>3.725610000000001</v>
      </c>
    </row>
    <row r="219" spans="1:6" hidden="1" x14ac:dyDescent="0.3">
      <c r="A219" s="18">
        <v>0.2</v>
      </c>
      <c r="B219" s="17">
        <v>175</v>
      </c>
      <c r="C219" s="17">
        <v>15</v>
      </c>
      <c r="D219" s="19">
        <v>493.9434</v>
      </c>
      <c r="E219" s="19">
        <v>4.42</v>
      </c>
      <c r="F219" s="38">
        <f t="shared" si="3"/>
        <v>3.6299999999999994</v>
      </c>
    </row>
    <row r="220" spans="1:6" hidden="1" x14ac:dyDescent="0.3">
      <c r="A220" s="18">
        <v>0.2</v>
      </c>
      <c r="B220" s="17">
        <v>175</v>
      </c>
      <c r="C220" s="17">
        <v>20</v>
      </c>
      <c r="D220" s="19">
        <v>515.70650000000001</v>
      </c>
      <c r="E220" s="19">
        <v>4.3650000000000002</v>
      </c>
      <c r="F220" s="38">
        <f t="shared" si="3"/>
        <v>3.5474999999999999</v>
      </c>
    </row>
    <row r="221" spans="1:6" hidden="1" x14ac:dyDescent="0.3">
      <c r="A221" s="18">
        <v>0.2</v>
      </c>
      <c r="B221" s="17">
        <v>175</v>
      </c>
      <c r="C221" s="17">
        <v>25</v>
      </c>
      <c r="D221" s="19">
        <v>514.30229999999995</v>
      </c>
      <c r="E221" s="19">
        <v>4.3380000000000001</v>
      </c>
      <c r="F221" s="38">
        <f t="shared" si="3"/>
        <v>3.5069999999999997</v>
      </c>
    </row>
    <row r="222" spans="1:6" hidden="1" x14ac:dyDescent="0.3">
      <c r="A222" s="18">
        <v>0.2</v>
      </c>
      <c r="B222" s="17">
        <v>200</v>
      </c>
      <c r="C222" s="17">
        <v>5</v>
      </c>
      <c r="D222" s="19">
        <v>511.04109999999997</v>
      </c>
      <c r="E222" s="19">
        <v>4.5999999999999996</v>
      </c>
      <c r="F222" s="38">
        <f t="shared" si="3"/>
        <v>3.899999999999999</v>
      </c>
    </row>
    <row r="223" spans="1:6" hidden="1" x14ac:dyDescent="0.3">
      <c r="A223" s="18">
        <v>0.2</v>
      </c>
      <c r="B223" s="17">
        <v>200</v>
      </c>
      <c r="C223" s="17">
        <v>10</v>
      </c>
      <c r="D223" s="19">
        <v>505.80380000000002</v>
      </c>
      <c r="E223" s="19">
        <v>4.502098000000001</v>
      </c>
      <c r="F223" s="38">
        <f t="shared" si="3"/>
        <v>3.7531470000000011</v>
      </c>
    </row>
    <row r="224" spans="1:6" hidden="1" x14ac:dyDescent="0.3">
      <c r="A224" s="18">
        <v>0.2</v>
      </c>
      <c r="B224" s="17">
        <v>200</v>
      </c>
      <c r="C224" s="17">
        <v>15</v>
      </c>
      <c r="D224" s="19">
        <v>526.69719999999995</v>
      </c>
      <c r="E224" s="19">
        <v>4.4701680000000001</v>
      </c>
      <c r="F224" s="38">
        <f t="shared" si="3"/>
        <v>3.7052519999999998</v>
      </c>
    </row>
    <row r="225" spans="1:6" hidden="1" x14ac:dyDescent="0.3">
      <c r="A225" s="18">
        <v>0.2</v>
      </c>
      <c r="B225" s="17">
        <v>200</v>
      </c>
      <c r="C225" s="17">
        <v>20</v>
      </c>
      <c r="D225" s="19">
        <v>520.45349999999996</v>
      </c>
      <c r="E225" s="19">
        <v>4.4059999999999997</v>
      </c>
      <c r="F225" s="38">
        <f t="shared" si="3"/>
        <v>3.6089999999999991</v>
      </c>
    </row>
    <row r="226" spans="1:6" hidden="1" x14ac:dyDescent="0.3">
      <c r="A226" s="18">
        <v>0.2</v>
      </c>
      <c r="B226" s="17">
        <v>200</v>
      </c>
      <c r="C226" s="17">
        <v>25</v>
      </c>
      <c r="D226" s="19">
        <v>518.52459999999996</v>
      </c>
      <c r="E226" s="19">
        <v>4.3849999999999998</v>
      </c>
      <c r="F226" s="38">
        <f t="shared" si="3"/>
        <v>3.5774999999999992</v>
      </c>
    </row>
  </sheetData>
  <autoFilter ref="A1:F226" xr:uid="{62E8847E-B169-445A-9266-73A38138E6A6}">
    <filterColumn colId="0">
      <filters>
        <filter val="0.05"/>
      </filters>
    </filterColumn>
    <filterColumn colId="2">
      <filters>
        <filter val="5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D642-7E60-498D-99C5-71F6E50E9E7C}">
  <dimension ref="A1:AE226"/>
  <sheetViews>
    <sheetView tabSelected="1" workbookViewId="0">
      <selection activeCell="L2" sqref="L2"/>
    </sheetView>
  </sheetViews>
  <sheetFormatPr defaultRowHeight="14.4" x14ac:dyDescent="0.3"/>
  <cols>
    <col min="6" max="6" width="8.88671875" style="35"/>
    <col min="13" max="13" width="17.44140625" bestFit="1" customWidth="1"/>
  </cols>
  <sheetData>
    <row r="1" spans="1:28" x14ac:dyDescent="0.3">
      <c r="A1" s="2" t="s">
        <v>31</v>
      </c>
      <c r="B1" s="1" t="s">
        <v>3</v>
      </c>
      <c r="C1" s="1" t="s">
        <v>4</v>
      </c>
      <c r="D1" s="1" t="s">
        <v>6</v>
      </c>
      <c r="E1" s="1" t="s">
        <v>5</v>
      </c>
      <c r="F1" s="39" t="s">
        <v>58</v>
      </c>
      <c r="H1" s="2">
        <v>0.01</v>
      </c>
      <c r="I1" s="1">
        <v>100</v>
      </c>
      <c r="J1" s="1">
        <v>5</v>
      </c>
      <c r="K1" s="2">
        <v>370</v>
      </c>
      <c r="L1" s="2">
        <v>2.2000000000000002</v>
      </c>
      <c r="M1" s="19">
        <f>(L1-2)/(2*SQRT(H1/(2-H1)))</f>
        <v>1.4106735979665896</v>
      </c>
      <c r="N1" s="22">
        <f>(L1-1)/(1*SQRT(H1/(2-H1)))</f>
        <v>16.928083175599063</v>
      </c>
    </row>
    <row r="2" spans="1:28" x14ac:dyDescent="0.3">
      <c r="A2" s="2">
        <v>0.05</v>
      </c>
      <c r="B2" s="1">
        <v>100</v>
      </c>
      <c r="C2" s="1">
        <v>5</v>
      </c>
      <c r="D2" s="2">
        <v>240.84569999999999</v>
      </c>
      <c r="E2" s="2">
        <v>2.66</v>
      </c>
      <c r="F2" s="38">
        <f>(E2-2)/(2*SQRT(A2/(2-A2)))</f>
        <v>2.060849339471472</v>
      </c>
      <c r="M2" t="s">
        <v>59</v>
      </c>
      <c r="N2" t="s">
        <v>60</v>
      </c>
    </row>
    <row r="3" spans="1:28" x14ac:dyDescent="0.3">
      <c r="A3" s="2">
        <v>0.05</v>
      </c>
      <c r="B3" s="1">
        <v>100</v>
      </c>
      <c r="C3" s="1">
        <v>10</v>
      </c>
      <c r="D3" s="2">
        <v>256.46890000000002</v>
      </c>
      <c r="E3" s="2">
        <v>2.63</v>
      </c>
      <c r="F3" s="38">
        <f t="shared" ref="F3:F66" si="0">(E3-2)/(2*SQRT(A3/(2-A3)))</f>
        <v>1.9671743694954951</v>
      </c>
    </row>
    <row r="4" spans="1:28" x14ac:dyDescent="0.3">
      <c r="A4" s="2">
        <v>0.05</v>
      </c>
      <c r="B4" s="1">
        <v>100</v>
      </c>
      <c r="C4" s="1">
        <v>15</v>
      </c>
      <c r="D4" s="2">
        <v>255.64920000000001</v>
      </c>
      <c r="E4" s="2">
        <v>2.62</v>
      </c>
      <c r="F4" s="38">
        <f t="shared" si="0"/>
        <v>1.9359493795035039</v>
      </c>
      <c r="M4" t="s">
        <v>34</v>
      </c>
      <c r="W4" t="s">
        <v>34</v>
      </c>
    </row>
    <row r="5" spans="1:28" ht="15" thickBot="1" x14ac:dyDescent="0.35">
      <c r="A5" s="2">
        <v>0.05</v>
      </c>
      <c r="B5" s="1">
        <v>100</v>
      </c>
      <c r="C5" s="1">
        <v>20</v>
      </c>
      <c r="D5" s="2">
        <v>257.57679999999999</v>
      </c>
      <c r="E5" s="2">
        <v>2.6</v>
      </c>
      <c r="F5" s="38">
        <f t="shared" si="0"/>
        <v>1.8734993995195197</v>
      </c>
    </row>
    <row r="6" spans="1:28" x14ac:dyDescent="0.3">
      <c r="A6" s="2">
        <v>0.05</v>
      </c>
      <c r="B6" s="1">
        <v>100</v>
      </c>
      <c r="C6" s="1">
        <v>25</v>
      </c>
      <c r="D6" s="2">
        <v>260.07560000000001</v>
      </c>
      <c r="E6" s="2">
        <v>2.58</v>
      </c>
      <c r="F6" s="38">
        <f t="shared" si="0"/>
        <v>1.8110494195355358</v>
      </c>
      <c r="M6" s="33" t="s">
        <v>35</v>
      </c>
      <c r="N6" s="33"/>
      <c r="W6" s="33" t="s">
        <v>35</v>
      </c>
      <c r="X6" s="33"/>
    </row>
    <row r="7" spans="1:28" x14ac:dyDescent="0.3">
      <c r="A7" s="2">
        <v>0.05</v>
      </c>
      <c r="B7" s="1">
        <v>125</v>
      </c>
      <c r="C7" s="1">
        <v>5</v>
      </c>
      <c r="D7" s="2">
        <v>238.93819999999999</v>
      </c>
      <c r="E7" s="2">
        <v>2.69</v>
      </c>
      <c r="F7" s="38">
        <f t="shared" si="0"/>
        <v>2.1545243094474471</v>
      </c>
      <c r="M7" t="s">
        <v>36</v>
      </c>
      <c r="N7">
        <v>0.99337545063869637</v>
      </c>
      <c r="W7" t="s">
        <v>36</v>
      </c>
      <c r="X7">
        <v>0.97832439402196059</v>
      </c>
    </row>
    <row r="8" spans="1:28" x14ac:dyDescent="0.3">
      <c r="A8" s="2">
        <v>0.05</v>
      </c>
      <c r="B8" s="1">
        <v>125</v>
      </c>
      <c r="C8" s="1">
        <v>10</v>
      </c>
      <c r="D8" s="2">
        <v>247.67619999999999</v>
      </c>
      <c r="E8" s="2">
        <v>2.66</v>
      </c>
      <c r="F8" s="38">
        <f t="shared" si="0"/>
        <v>2.060849339471472</v>
      </c>
      <c r="M8" t="s">
        <v>37</v>
      </c>
      <c r="N8">
        <v>0.98679478593163317</v>
      </c>
      <c r="W8" t="s">
        <v>37</v>
      </c>
      <c r="X8">
        <v>0.95711861993843639</v>
      </c>
    </row>
    <row r="9" spans="1:28" x14ac:dyDescent="0.3">
      <c r="A9" s="2">
        <v>0.05</v>
      </c>
      <c r="B9" s="1">
        <v>125</v>
      </c>
      <c r="C9" s="1">
        <v>15</v>
      </c>
      <c r="D9" s="2">
        <v>249.5634</v>
      </c>
      <c r="E9" s="2">
        <v>2.65</v>
      </c>
      <c r="F9" s="38">
        <f t="shared" si="0"/>
        <v>2.0296243494794792</v>
      </c>
      <c r="M9" t="s">
        <v>38</v>
      </c>
      <c r="N9">
        <v>0.98655469113039007</v>
      </c>
      <c r="W9" t="s">
        <v>38</v>
      </c>
      <c r="X9">
        <v>0.95633895848277162</v>
      </c>
    </row>
    <row r="10" spans="1:28" x14ac:dyDescent="0.3">
      <c r="A10" s="2">
        <v>0.05</v>
      </c>
      <c r="B10" s="1">
        <v>125</v>
      </c>
      <c r="C10" s="1">
        <v>20</v>
      </c>
      <c r="D10" s="2">
        <v>248.4144</v>
      </c>
      <c r="E10" s="2">
        <v>2.63</v>
      </c>
      <c r="F10" s="38">
        <f t="shared" si="0"/>
        <v>1.9671743694954951</v>
      </c>
      <c r="M10" t="s">
        <v>39</v>
      </c>
      <c r="N10">
        <v>7.3203949346274E-2</v>
      </c>
      <c r="W10" t="s">
        <v>39</v>
      </c>
      <c r="X10">
        <v>0.10486023601253913</v>
      </c>
    </row>
    <row r="11" spans="1:28" ht="15" thickBot="1" x14ac:dyDescent="0.35">
      <c r="A11" s="2">
        <v>0.05</v>
      </c>
      <c r="B11" s="1">
        <v>125</v>
      </c>
      <c r="C11" s="1">
        <v>25</v>
      </c>
      <c r="D11" s="2">
        <v>251.4101</v>
      </c>
      <c r="E11" s="2">
        <v>2.61</v>
      </c>
      <c r="F11" s="38">
        <f t="shared" si="0"/>
        <v>1.9047243895115111</v>
      </c>
      <c r="M11" s="31" t="s">
        <v>40</v>
      </c>
      <c r="N11" s="31">
        <v>225</v>
      </c>
      <c r="W11" s="31" t="s">
        <v>40</v>
      </c>
      <c r="X11" s="31">
        <v>225</v>
      </c>
    </row>
    <row r="12" spans="1:28" x14ac:dyDescent="0.3">
      <c r="A12" s="2">
        <v>0.05</v>
      </c>
      <c r="B12" s="1">
        <v>150</v>
      </c>
      <c r="C12" s="1">
        <v>5</v>
      </c>
      <c r="D12" s="2">
        <v>251.22970000000001</v>
      </c>
      <c r="E12" s="2">
        <v>2.7150000000000003</v>
      </c>
      <c r="F12" s="38">
        <f t="shared" si="0"/>
        <v>2.2325867844274283</v>
      </c>
    </row>
    <row r="13" spans="1:28" ht="15" thickBot="1" x14ac:dyDescent="0.35">
      <c r="A13" s="2">
        <v>0.05</v>
      </c>
      <c r="B13" s="1">
        <v>150</v>
      </c>
      <c r="C13" s="1">
        <v>10</v>
      </c>
      <c r="D13" s="2">
        <v>245.27930000000001</v>
      </c>
      <c r="E13" s="2">
        <v>2.68</v>
      </c>
      <c r="F13" s="38">
        <f t="shared" si="0"/>
        <v>2.1232993194554561</v>
      </c>
      <c r="M13" t="s">
        <v>41</v>
      </c>
      <c r="W13" t="s">
        <v>41</v>
      </c>
    </row>
    <row r="14" spans="1:28" x14ac:dyDescent="0.3">
      <c r="A14" s="2">
        <v>0.05</v>
      </c>
      <c r="B14" s="1">
        <v>150</v>
      </c>
      <c r="C14" s="1">
        <v>15</v>
      </c>
      <c r="D14" s="2">
        <v>241.7663</v>
      </c>
      <c r="E14" s="2">
        <v>2.665</v>
      </c>
      <c r="F14" s="38">
        <f t="shared" si="0"/>
        <v>2.0764618344674677</v>
      </c>
      <c r="M14" s="32"/>
      <c r="N14" s="32" t="s">
        <v>46</v>
      </c>
      <c r="O14" s="32" t="s">
        <v>47</v>
      </c>
      <c r="P14" s="32" t="s">
        <v>48</v>
      </c>
      <c r="Q14" s="32" t="s">
        <v>49</v>
      </c>
      <c r="R14" s="32" t="s">
        <v>50</v>
      </c>
      <c r="W14" s="32"/>
      <c r="X14" s="32" t="s">
        <v>46</v>
      </c>
      <c r="Y14" s="32" t="s">
        <v>47</v>
      </c>
      <c r="Z14" s="32" t="s">
        <v>48</v>
      </c>
      <c r="AA14" s="32" t="s">
        <v>49</v>
      </c>
      <c r="AB14" s="32" t="s">
        <v>50</v>
      </c>
    </row>
    <row r="15" spans="1:28" x14ac:dyDescent="0.3">
      <c r="A15" s="2">
        <v>0.05</v>
      </c>
      <c r="B15" s="1">
        <v>150</v>
      </c>
      <c r="C15" s="1">
        <v>20</v>
      </c>
      <c r="D15" s="2">
        <v>259.10090000000002</v>
      </c>
      <c r="E15" s="2">
        <v>2.66</v>
      </c>
      <c r="F15" s="38">
        <f t="shared" si="0"/>
        <v>2.060849339471472</v>
      </c>
      <c r="M15" t="s">
        <v>42</v>
      </c>
      <c r="N15">
        <v>4</v>
      </c>
      <c r="O15">
        <v>88.099431241846275</v>
      </c>
      <c r="P15">
        <v>22.024857810461569</v>
      </c>
      <c r="Q15">
        <v>4110.0214616174271</v>
      </c>
      <c r="R15">
        <v>2.0970135113038828E-205</v>
      </c>
      <c r="W15" t="s">
        <v>42</v>
      </c>
      <c r="X15">
        <v>4</v>
      </c>
      <c r="Y15">
        <v>53.993484246667393</v>
      </c>
      <c r="Z15">
        <v>13.498371061666848</v>
      </c>
      <c r="AA15">
        <v>1227.6079739280328</v>
      </c>
      <c r="AB15">
        <v>3.7672716007250851E-149</v>
      </c>
    </row>
    <row r="16" spans="1:28" x14ac:dyDescent="0.3">
      <c r="A16" s="2">
        <v>0.05</v>
      </c>
      <c r="B16" s="1">
        <v>150</v>
      </c>
      <c r="C16" s="1">
        <v>25</v>
      </c>
      <c r="D16" s="2">
        <v>259.70670000000001</v>
      </c>
      <c r="E16" s="2">
        <v>2.64</v>
      </c>
      <c r="F16" s="38">
        <f t="shared" si="0"/>
        <v>1.9983993594874878</v>
      </c>
      <c r="M16" t="s">
        <v>43</v>
      </c>
      <c r="N16">
        <v>220</v>
      </c>
      <c r="O16">
        <v>1.1789400039762068</v>
      </c>
      <c r="P16">
        <v>5.3588181998918492E-3</v>
      </c>
      <c r="W16" t="s">
        <v>43</v>
      </c>
      <c r="X16">
        <v>220</v>
      </c>
      <c r="Y16">
        <v>2.4190472012531901</v>
      </c>
      <c r="Z16">
        <v>1.0995669096605409E-2</v>
      </c>
    </row>
    <row r="17" spans="1:31" ht="15" thickBot="1" x14ac:dyDescent="0.35">
      <c r="A17" s="2">
        <v>0.05</v>
      </c>
      <c r="B17" s="1">
        <v>175</v>
      </c>
      <c r="C17" s="1">
        <v>5</v>
      </c>
      <c r="D17" s="2">
        <v>253.9803</v>
      </c>
      <c r="E17" s="2">
        <v>2.7350000000000003</v>
      </c>
      <c r="F17" s="38">
        <f t="shared" si="0"/>
        <v>2.2950367644114125</v>
      </c>
      <c r="M17" s="31" t="s">
        <v>44</v>
      </c>
      <c r="N17" s="31">
        <v>224</v>
      </c>
      <c r="O17" s="31">
        <v>89.278371245822484</v>
      </c>
      <c r="P17" s="31"/>
      <c r="Q17" s="31"/>
      <c r="R17" s="31"/>
      <c r="W17" s="31" t="s">
        <v>44</v>
      </c>
      <c r="X17" s="31">
        <v>224</v>
      </c>
      <c r="Y17" s="31">
        <v>56.412531447920585</v>
      </c>
      <c r="Z17" s="31"/>
      <c r="AA17" s="31"/>
      <c r="AB17" s="31"/>
    </row>
    <row r="18" spans="1:31" ht="15" thickBot="1" x14ac:dyDescent="0.35">
      <c r="A18" s="2">
        <v>0.05</v>
      </c>
      <c r="B18" s="1">
        <v>175</v>
      </c>
      <c r="C18" s="1">
        <v>10</v>
      </c>
      <c r="D18" s="2">
        <v>259.3664</v>
      </c>
      <c r="E18" s="2">
        <v>2.6999999999999997</v>
      </c>
      <c r="F18" s="38">
        <f t="shared" si="0"/>
        <v>2.1857492994394385</v>
      </c>
    </row>
    <row r="19" spans="1:31" x14ac:dyDescent="0.3">
      <c r="A19" s="2">
        <v>0.05</v>
      </c>
      <c r="B19" s="1">
        <v>175</v>
      </c>
      <c r="C19" s="1">
        <v>15</v>
      </c>
      <c r="D19" s="2">
        <v>252.0966</v>
      </c>
      <c r="E19" s="2">
        <v>2.6849999999999996</v>
      </c>
      <c r="F19" s="38">
        <f t="shared" si="0"/>
        <v>2.1389118144514501</v>
      </c>
      <c r="M19" s="34"/>
      <c r="N19" s="34" t="s">
        <v>51</v>
      </c>
      <c r="O19" s="34" t="s">
        <v>39</v>
      </c>
      <c r="P19" s="34" t="s">
        <v>52</v>
      </c>
      <c r="Q19" s="34" t="s">
        <v>53</v>
      </c>
      <c r="R19" s="34" t="s">
        <v>54</v>
      </c>
      <c r="S19" s="34" t="s">
        <v>55</v>
      </c>
      <c r="T19" s="34" t="s">
        <v>56</v>
      </c>
      <c r="U19" s="34" t="s">
        <v>57</v>
      </c>
      <c r="W19" s="32"/>
      <c r="X19" s="32" t="s">
        <v>51</v>
      </c>
      <c r="Y19" s="32" t="s">
        <v>39</v>
      </c>
      <c r="Z19" s="32" t="s">
        <v>52</v>
      </c>
      <c r="AA19" s="32" t="s">
        <v>53</v>
      </c>
      <c r="AB19" s="32" t="s">
        <v>54</v>
      </c>
      <c r="AC19" s="32" t="s">
        <v>55</v>
      </c>
      <c r="AD19" s="32" t="s">
        <v>56</v>
      </c>
      <c r="AE19" s="32" t="s">
        <v>57</v>
      </c>
    </row>
    <row r="20" spans="1:31" x14ac:dyDescent="0.3">
      <c r="A20" s="2">
        <v>0.05</v>
      </c>
      <c r="B20" s="1">
        <v>175</v>
      </c>
      <c r="C20" s="1">
        <v>20</v>
      </c>
      <c r="D20" s="2">
        <v>261.94220000000001</v>
      </c>
      <c r="E20" s="2">
        <v>2.6799999999999997</v>
      </c>
      <c r="F20" s="38">
        <f t="shared" si="0"/>
        <v>2.1232993194554544</v>
      </c>
      <c r="M20" s="35" t="s">
        <v>45</v>
      </c>
      <c r="N20" s="35">
        <v>1.8659462861729783</v>
      </c>
      <c r="O20" s="35">
        <v>3.1092223523940466E-2</v>
      </c>
      <c r="P20" s="35">
        <v>60.01327903539071</v>
      </c>
      <c r="Q20" s="35">
        <v>2.3045689920300012E-138</v>
      </c>
      <c r="R20" s="35">
        <v>1.8046695581723151</v>
      </c>
      <c r="S20" s="35">
        <v>1.9272230141736415</v>
      </c>
      <c r="T20" s="35">
        <v>1.8046695581723151</v>
      </c>
      <c r="U20" s="35">
        <v>1.9272230141736415</v>
      </c>
      <c r="W20" t="s">
        <v>45</v>
      </c>
      <c r="X20" s="35">
        <v>1.1933674523773763</v>
      </c>
      <c r="Y20" s="35">
        <v>4.4537732267049678E-2</v>
      </c>
      <c r="Z20" s="35">
        <v>26.794526609974362</v>
      </c>
      <c r="AA20" s="35">
        <v>3.2702451045613828E-71</v>
      </c>
      <c r="AB20" s="35">
        <v>1.1055922405533334</v>
      </c>
      <c r="AC20" s="35">
        <v>1.2811426642014192</v>
      </c>
      <c r="AD20" s="35">
        <v>1.1055922405533334</v>
      </c>
      <c r="AE20" s="35">
        <v>1.2811426642014192</v>
      </c>
    </row>
    <row r="21" spans="1:31" x14ac:dyDescent="0.3">
      <c r="A21" s="2">
        <v>0.05</v>
      </c>
      <c r="B21" s="1">
        <v>175</v>
      </c>
      <c r="C21" s="1">
        <v>25</v>
      </c>
      <c r="D21" s="2">
        <v>255.12790000000001</v>
      </c>
      <c r="E21" s="2">
        <v>2.6599999999999997</v>
      </c>
      <c r="F21" s="38">
        <f t="shared" si="0"/>
        <v>2.0608493394714706</v>
      </c>
      <c r="M21" s="35" t="s">
        <v>31</v>
      </c>
      <c r="N21" s="35">
        <v>9.8449748356362292</v>
      </c>
      <c r="O21" s="35">
        <v>7.8261041834580838E-2</v>
      </c>
      <c r="P21" s="35">
        <v>125.79662377157464</v>
      </c>
      <c r="Q21" s="35">
        <v>6.5006263108158456E-207</v>
      </c>
      <c r="R21" s="35">
        <v>9.6907375367227679</v>
      </c>
      <c r="S21" s="35">
        <v>9.9992121345496905</v>
      </c>
      <c r="T21" s="35">
        <v>9.6907375367227679</v>
      </c>
      <c r="U21" s="35">
        <v>9.9992121345496905</v>
      </c>
      <c r="W21" t="s">
        <v>31</v>
      </c>
      <c r="X21" s="35">
        <v>6.8197334124709217</v>
      </c>
      <c r="Y21" s="35">
        <v>0.11210421556004541</v>
      </c>
      <c r="Z21" s="35">
        <v>60.833871218858199</v>
      </c>
      <c r="AA21" s="35">
        <v>1.3753918584557538E-139</v>
      </c>
      <c r="AB21" s="35">
        <v>6.5987977975152621</v>
      </c>
      <c r="AC21" s="35">
        <v>7.0406690274265813</v>
      </c>
      <c r="AD21" s="35">
        <v>6.5987977975152621</v>
      </c>
      <c r="AE21" s="35">
        <v>7.0406690274265813</v>
      </c>
    </row>
    <row r="22" spans="1:31" x14ac:dyDescent="0.3">
      <c r="A22" s="2">
        <v>0.05</v>
      </c>
      <c r="B22" s="1">
        <v>200</v>
      </c>
      <c r="C22" s="1">
        <v>5</v>
      </c>
      <c r="D22" s="2">
        <v>250.44739999999999</v>
      </c>
      <c r="E22" s="2">
        <v>2.74</v>
      </c>
      <c r="F22" s="38">
        <f t="shared" si="0"/>
        <v>2.3106492594074082</v>
      </c>
      <c r="M22" s="35" t="s">
        <v>3</v>
      </c>
      <c r="N22" s="35">
        <v>1.5852329224073369E-3</v>
      </c>
      <c r="O22" s="35">
        <v>1.3803513464899202E-4</v>
      </c>
      <c r="P22" s="35">
        <v>11.484271207025717</v>
      </c>
      <c r="Q22" s="35">
        <v>3.1773743300542894E-24</v>
      </c>
      <c r="R22" s="35">
        <v>1.3131925070955007E-3</v>
      </c>
      <c r="S22" s="35">
        <v>1.8572733377191732E-3</v>
      </c>
      <c r="T22" s="35">
        <v>1.3131925070955007E-3</v>
      </c>
      <c r="U22" s="35">
        <v>1.8572733377191732E-3</v>
      </c>
      <c r="W22" t="s">
        <v>3</v>
      </c>
      <c r="X22" s="35">
        <v>3.2209453965188119E-3</v>
      </c>
      <c r="Y22" s="35">
        <v>1.9772699323704798E-4</v>
      </c>
      <c r="Z22" s="35">
        <v>16.289861812935843</v>
      </c>
      <c r="AA22" s="35">
        <v>1.14614326851886E-39</v>
      </c>
      <c r="AB22" s="35">
        <v>2.8312639324817863E-3</v>
      </c>
      <c r="AC22" s="35">
        <v>3.6106268605558376E-3</v>
      </c>
      <c r="AD22" s="35">
        <v>2.8312639324817863E-3</v>
      </c>
      <c r="AE22" s="35">
        <v>3.6106268605558376E-3</v>
      </c>
    </row>
    <row r="23" spans="1:31" x14ac:dyDescent="0.3">
      <c r="A23" s="2">
        <v>0.05</v>
      </c>
      <c r="B23" s="1">
        <v>200</v>
      </c>
      <c r="C23" s="1">
        <v>10</v>
      </c>
      <c r="D23" s="2">
        <v>261.42590000000001</v>
      </c>
      <c r="E23" s="2">
        <v>2.7199999999999993</v>
      </c>
      <c r="F23" s="38">
        <f t="shared" si="0"/>
        <v>2.2481992794234213</v>
      </c>
      <c r="M23" s="35" t="s">
        <v>4</v>
      </c>
      <c r="N23" s="35">
        <v>-1.0338737276542918E-2</v>
      </c>
      <c r="O23" s="35">
        <v>6.9019734970079787E-4</v>
      </c>
      <c r="P23" s="35">
        <v>-14.979392895415758</v>
      </c>
      <c r="Q23" s="35">
        <v>1.9497700993314397E-35</v>
      </c>
      <c r="R23" s="35">
        <v>-1.1698982073182486E-2</v>
      </c>
      <c r="S23" s="35">
        <v>-8.9784924799033491E-3</v>
      </c>
      <c r="T23" s="35">
        <v>-1.1698982073182486E-2</v>
      </c>
      <c r="U23" s="35">
        <v>-8.9784924799033491E-3</v>
      </c>
      <c r="W23" t="s">
        <v>4</v>
      </c>
      <c r="X23" s="35">
        <v>-1.9779244346572526E-2</v>
      </c>
      <c r="Y23" s="35">
        <v>9.8866601639899698E-4</v>
      </c>
      <c r="Z23" s="35">
        <v>-20.005991931040739</v>
      </c>
      <c r="AA23" s="35">
        <v>2.0381130883821977E-51</v>
      </c>
      <c r="AB23" s="35">
        <v>-2.1727712860692569E-2</v>
      </c>
      <c r="AC23" s="35">
        <v>-1.7830775832452482E-2</v>
      </c>
      <c r="AD23" s="35">
        <v>-2.1727712860692569E-2</v>
      </c>
      <c r="AE23" s="35">
        <v>-1.7830775832452482E-2</v>
      </c>
    </row>
    <row r="24" spans="1:31" ht="15" thickBot="1" x14ac:dyDescent="0.35">
      <c r="A24" s="2">
        <v>0.05</v>
      </c>
      <c r="B24" s="1">
        <v>200</v>
      </c>
      <c r="C24" s="1">
        <v>15</v>
      </c>
      <c r="D24" s="2">
        <v>255.4306</v>
      </c>
      <c r="E24" s="2">
        <v>2.7049999999999992</v>
      </c>
      <c r="F24" s="38">
        <f t="shared" si="0"/>
        <v>2.2013617944354329</v>
      </c>
      <c r="M24" s="36" t="s">
        <v>6</v>
      </c>
      <c r="N24" s="36">
        <v>8.100042788451705E-4</v>
      </c>
      <c r="O24" s="36">
        <v>4.7704032834918421E-5</v>
      </c>
      <c r="P24" s="36">
        <v>16.979786209023889</v>
      </c>
      <c r="Q24" s="36">
        <v>6.981299833610077E-42</v>
      </c>
      <c r="R24" s="36">
        <v>7.1598890415480038E-4</v>
      </c>
      <c r="S24" s="36">
        <v>9.0401965353554062E-4</v>
      </c>
      <c r="T24" s="36">
        <v>7.1598890415480038E-4</v>
      </c>
      <c r="U24" s="36">
        <v>9.0401965353554062E-4</v>
      </c>
      <c r="W24" s="31" t="s">
        <v>6</v>
      </c>
      <c r="X24" s="36">
        <v>1.6139998830080023E-3</v>
      </c>
      <c r="Y24" s="36">
        <v>6.8333145772743348E-5</v>
      </c>
      <c r="Z24" s="36">
        <v>23.619575313797316</v>
      </c>
      <c r="AA24" s="36">
        <v>2.9342317560016331E-62</v>
      </c>
      <c r="AB24" s="36">
        <v>1.4793285371738271E-3</v>
      </c>
      <c r="AC24" s="36">
        <v>1.7486712288421774E-3</v>
      </c>
      <c r="AD24" s="36">
        <v>1.4793285371738271E-3</v>
      </c>
      <c r="AE24" s="36">
        <v>1.7486712288421774E-3</v>
      </c>
    </row>
    <row r="25" spans="1:31" x14ac:dyDescent="0.3">
      <c r="A25" s="2">
        <v>0.05</v>
      </c>
      <c r="B25" s="1">
        <v>200</v>
      </c>
      <c r="C25" s="1">
        <v>20</v>
      </c>
      <c r="D25" s="2">
        <v>255.8031</v>
      </c>
      <c r="E25" s="2">
        <v>2.69</v>
      </c>
      <c r="F25" s="38">
        <f t="shared" si="0"/>
        <v>2.1545243094474471</v>
      </c>
    </row>
    <row r="26" spans="1:31" x14ac:dyDescent="0.3">
      <c r="A26" s="2">
        <v>0.05</v>
      </c>
      <c r="B26" s="1">
        <v>200</v>
      </c>
      <c r="C26" s="1">
        <v>25</v>
      </c>
      <c r="D26" s="2">
        <v>254.20070000000001</v>
      </c>
      <c r="E26" s="2">
        <v>2.6799999999999993</v>
      </c>
      <c r="F26" s="38">
        <f t="shared" si="0"/>
        <v>2.123299319455453</v>
      </c>
    </row>
    <row r="27" spans="1:31" x14ac:dyDescent="0.3">
      <c r="A27" s="2">
        <v>0.05</v>
      </c>
      <c r="B27" s="1">
        <v>100</v>
      </c>
      <c r="C27" s="1">
        <v>5</v>
      </c>
      <c r="D27" s="2">
        <v>360.27199999999999</v>
      </c>
      <c r="E27" s="2">
        <v>2.73</v>
      </c>
      <c r="F27" s="38">
        <f t="shared" si="0"/>
        <v>2.2794242694154154</v>
      </c>
    </row>
    <row r="28" spans="1:31" x14ac:dyDescent="0.3">
      <c r="A28" s="2">
        <v>0.05</v>
      </c>
      <c r="B28" s="1">
        <v>100</v>
      </c>
      <c r="C28" s="1">
        <v>10</v>
      </c>
      <c r="D28" s="2">
        <v>380.4873</v>
      </c>
      <c r="E28" s="2">
        <v>2.6992105263157891</v>
      </c>
      <c r="F28" s="38">
        <f t="shared" si="0"/>
        <v>2.1832841686505966</v>
      </c>
    </row>
    <row r="29" spans="1:31" x14ac:dyDescent="0.3">
      <c r="A29" s="2">
        <v>0.05</v>
      </c>
      <c r="B29" s="1">
        <v>100</v>
      </c>
      <c r="C29" s="1">
        <v>15</v>
      </c>
      <c r="D29" s="2">
        <v>376.83139999999997</v>
      </c>
      <c r="E29" s="2">
        <v>2.67</v>
      </c>
      <c r="F29" s="38">
        <f t="shared" si="0"/>
        <v>2.0920743294634634</v>
      </c>
    </row>
    <row r="30" spans="1:31" x14ac:dyDescent="0.3">
      <c r="A30" s="2">
        <v>0.05</v>
      </c>
      <c r="B30" s="1">
        <v>100</v>
      </c>
      <c r="C30" s="1">
        <v>20</v>
      </c>
      <c r="D30" s="2">
        <v>371.47570000000002</v>
      </c>
      <c r="E30" s="2">
        <v>2.65</v>
      </c>
      <c r="F30" s="38">
        <f t="shared" si="0"/>
        <v>2.0296243494794792</v>
      </c>
    </row>
    <row r="31" spans="1:31" x14ac:dyDescent="0.3">
      <c r="A31" s="2">
        <v>0.05</v>
      </c>
      <c r="B31" s="1">
        <v>100</v>
      </c>
      <c r="C31" s="1">
        <v>25</v>
      </c>
      <c r="D31" s="2">
        <v>365.16919999999999</v>
      </c>
      <c r="E31" s="2">
        <v>2.62</v>
      </c>
      <c r="F31" s="38">
        <f t="shared" si="0"/>
        <v>1.9359493795035039</v>
      </c>
    </row>
    <row r="32" spans="1:31" x14ac:dyDescent="0.3">
      <c r="A32" s="2">
        <v>0.05</v>
      </c>
      <c r="B32" s="1">
        <v>125</v>
      </c>
      <c r="C32" s="1">
        <v>5</v>
      </c>
      <c r="D32" s="2">
        <v>360.50040000000001</v>
      </c>
      <c r="E32" s="2">
        <v>2.76</v>
      </c>
      <c r="F32" s="38">
        <f t="shared" si="0"/>
        <v>2.3730992393913906</v>
      </c>
    </row>
    <row r="33" spans="1:6" x14ac:dyDescent="0.3">
      <c r="A33" s="2">
        <v>0.05</v>
      </c>
      <c r="B33" s="1">
        <v>125</v>
      </c>
      <c r="C33" s="1">
        <v>10</v>
      </c>
      <c r="D33" s="2">
        <v>366.79430000000002</v>
      </c>
      <c r="E33" s="2">
        <v>2.7250000000000001</v>
      </c>
      <c r="F33" s="38">
        <f t="shared" si="0"/>
        <v>2.2638117744194197</v>
      </c>
    </row>
    <row r="34" spans="1:6" x14ac:dyDescent="0.3">
      <c r="A34" s="2">
        <v>0.05</v>
      </c>
      <c r="B34" s="1">
        <v>125</v>
      </c>
      <c r="C34" s="1">
        <v>15</v>
      </c>
      <c r="D34" s="2">
        <v>384.19209999999998</v>
      </c>
      <c r="E34" s="2">
        <v>2.7149999999999999</v>
      </c>
      <c r="F34" s="38">
        <f t="shared" si="0"/>
        <v>2.232586784427427</v>
      </c>
    </row>
    <row r="35" spans="1:6" x14ac:dyDescent="0.3">
      <c r="A35" s="2">
        <v>0.05</v>
      </c>
      <c r="B35" s="1">
        <v>125</v>
      </c>
      <c r="C35" s="1">
        <v>20</v>
      </c>
      <c r="D35" s="2">
        <v>362.4751</v>
      </c>
      <c r="E35" s="2">
        <v>2.68</v>
      </c>
      <c r="F35" s="38">
        <f t="shared" si="0"/>
        <v>2.1232993194554561</v>
      </c>
    </row>
    <row r="36" spans="1:6" x14ac:dyDescent="0.3">
      <c r="A36" s="2">
        <v>0.05</v>
      </c>
      <c r="B36" s="1">
        <v>125</v>
      </c>
      <c r="C36" s="1">
        <v>25</v>
      </c>
      <c r="D36" s="2">
        <v>383.80919999999998</v>
      </c>
      <c r="E36" s="2">
        <v>2.67</v>
      </c>
      <c r="F36" s="38">
        <f t="shared" si="0"/>
        <v>2.0920743294634634</v>
      </c>
    </row>
    <row r="37" spans="1:6" x14ac:dyDescent="0.3">
      <c r="A37" s="2">
        <v>0.05</v>
      </c>
      <c r="B37" s="1">
        <v>150</v>
      </c>
      <c r="C37" s="1">
        <v>5</v>
      </c>
      <c r="D37" s="2">
        <v>363.51150000000001</v>
      </c>
      <c r="E37" s="2">
        <v>2.7850000000000001</v>
      </c>
      <c r="F37" s="38">
        <f t="shared" si="0"/>
        <v>2.4511617143713718</v>
      </c>
    </row>
    <row r="38" spans="1:6" x14ac:dyDescent="0.3">
      <c r="A38" s="2">
        <v>0.05</v>
      </c>
      <c r="B38" s="1">
        <v>150</v>
      </c>
      <c r="C38" s="1">
        <v>10</v>
      </c>
      <c r="D38" s="2">
        <v>369.779</v>
      </c>
      <c r="E38" s="2">
        <v>2.7450000000000001</v>
      </c>
      <c r="F38" s="38">
        <f t="shared" si="0"/>
        <v>2.3262617544034039</v>
      </c>
    </row>
    <row r="39" spans="1:6" x14ac:dyDescent="0.3">
      <c r="A39" s="2">
        <v>0.05</v>
      </c>
      <c r="B39" s="1">
        <v>150</v>
      </c>
      <c r="C39" s="1">
        <v>15</v>
      </c>
      <c r="D39" s="2">
        <v>360.0428</v>
      </c>
      <c r="E39" s="2">
        <v>2.73</v>
      </c>
      <c r="F39" s="38">
        <f t="shared" si="0"/>
        <v>2.2794242694154154</v>
      </c>
    </row>
    <row r="40" spans="1:6" x14ac:dyDescent="0.3">
      <c r="A40" s="2">
        <v>0.05</v>
      </c>
      <c r="B40" s="1">
        <v>150</v>
      </c>
      <c r="C40" s="1">
        <v>20</v>
      </c>
      <c r="D40" s="2">
        <v>360.47280000000001</v>
      </c>
      <c r="E40" s="2">
        <v>2.7100000000000004</v>
      </c>
      <c r="F40" s="38">
        <f t="shared" si="0"/>
        <v>2.2169742894314326</v>
      </c>
    </row>
    <row r="41" spans="1:6" x14ac:dyDescent="0.3">
      <c r="A41" s="2">
        <v>0.05</v>
      </c>
      <c r="B41" s="1">
        <v>150</v>
      </c>
      <c r="C41" s="1">
        <v>25</v>
      </c>
      <c r="D41" s="2">
        <v>371.24169999999998</v>
      </c>
      <c r="E41" s="2">
        <v>2.7</v>
      </c>
      <c r="F41" s="38">
        <f t="shared" si="0"/>
        <v>2.1857492994394399</v>
      </c>
    </row>
    <row r="42" spans="1:6" x14ac:dyDescent="0.3">
      <c r="A42" s="2">
        <v>0.05</v>
      </c>
      <c r="B42" s="1">
        <v>175</v>
      </c>
      <c r="C42" s="1">
        <v>5</v>
      </c>
      <c r="D42" s="2">
        <v>363.44080000000002</v>
      </c>
      <c r="E42" s="2">
        <v>2.8050000000000002</v>
      </c>
      <c r="F42" s="38">
        <f t="shared" si="0"/>
        <v>2.5136116943553559</v>
      </c>
    </row>
    <row r="43" spans="1:6" x14ac:dyDescent="0.3">
      <c r="A43" s="2">
        <v>0.05</v>
      </c>
      <c r="B43" s="1">
        <v>175</v>
      </c>
      <c r="C43" s="1">
        <v>10</v>
      </c>
      <c r="D43" s="2">
        <v>371.48680000000002</v>
      </c>
      <c r="E43" s="2">
        <v>2.7649999999999997</v>
      </c>
      <c r="F43" s="38">
        <f t="shared" si="0"/>
        <v>2.3887117343873863</v>
      </c>
    </row>
    <row r="44" spans="1:6" x14ac:dyDescent="0.3">
      <c r="A44" s="2">
        <v>0.05</v>
      </c>
      <c r="B44" s="1">
        <v>175</v>
      </c>
      <c r="C44" s="1">
        <v>15</v>
      </c>
      <c r="D44" s="2">
        <v>367.03800000000001</v>
      </c>
      <c r="E44" s="2">
        <v>2.7499999999999996</v>
      </c>
      <c r="F44" s="38">
        <f t="shared" si="0"/>
        <v>2.3418742493993978</v>
      </c>
    </row>
    <row r="45" spans="1:6" x14ac:dyDescent="0.3">
      <c r="A45" s="2">
        <v>0.05</v>
      </c>
      <c r="B45" s="1">
        <v>175</v>
      </c>
      <c r="C45" s="1">
        <v>20</v>
      </c>
      <c r="D45" s="2">
        <v>363.36200000000002</v>
      </c>
      <c r="E45" s="2">
        <v>2.73</v>
      </c>
      <c r="F45" s="38">
        <f t="shared" si="0"/>
        <v>2.2794242694154154</v>
      </c>
    </row>
    <row r="46" spans="1:6" x14ac:dyDescent="0.3">
      <c r="A46" s="2">
        <v>0.05</v>
      </c>
      <c r="B46" s="1">
        <v>175</v>
      </c>
      <c r="C46" s="1">
        <v>25</v>
      </c>
      <c r="D46" s="2">
        <v>369.49689999999998</v>
      </c>
      <c r="E46" s="2">
        <v>2.7199999999999998</v>
      </c>
      <c r="F46" s="38">
        <f t="shared" si="0"/>
        <v>2.2481992794234227</v>
      </c>
    </row>
    <row r="47" spans="1:6" x14ac:dyDescent="0.3">
      <c r="A47" s="2">
        <v>0.05</v>
      </c>
      <c r="B47" s="1">
        <v>200</v>
      </c>
      <c r="C47" s="1">
        <v>5</v>
      </c>
      <c r="D47" s="2">
        <v>376.95249999999999</v>
      </c>
      <c r="E47" s="2">
        <v>2.8250000000000002</v>
      </c>
      <c r="F47" s="38">
        <f t="shared" si="0"/>
        <v>2.5760616743393396</v>
      </c>
    </row>
    <row r="48" spans="1:6" x14ac:dyDescent="0.3">
      <c r="A48" s="2">
        <v>0.05</v>
      </c>
      <c r="B48" s="1">
        <v>200</v>
      </c>
      <c r="C48" s="1">
        <v>10</v>
      </c>
      <c r="D48" s="2">
        <v>389.42169999999999</v>
      </c>
      <c r="E48" s="2">
        <v>2.7849999999999993</v>
      </c>
      <c r="F48" s="38">
        <f t="shared" si="0"/>
        <v>2.4511617143713691</v>
      </c>
    </row>
    <row r="49" spans="1:6" x14ac:dyDescent="0.3">
      <c r="A49" s="2">
        <v>0.05</v>
      </c>
      <c r="B49" s="1">
        <v>200</v>
      </c>
      <c r="C49" s="1">
        <v>15</v>
      </c>
      <c r="D49" s="2">
        <v>384.4717</v>
      </c>
      <c r="E49" s="2">
        <v>2.7699999999999991</v>
      </c>
      <c r="F49" s="38">
        <f t="shared" si="0"/>
        <v>2.4043242293833806</v>
      </c>
    </row>
    <row r="50" spans="1:6" x14ac:dyDescent="0.3">
      <c r="A50" s="2">
        <v>0.05</v>
      </c>
      <c r="B50" s="1">
        <v>200</v>
      </c>
      <c r="C50" s="1">
        <v>20</v>
      </c>
      <c r="D50" s="2">
        <v>358.70960000000002</v>
      </c>
      <c r="E50" s="2">
        <v>2.7499999999999996</v>
      </c>
      <c r="F50" s="38">
        <f t="shared" si="0"/>
        <v>2.3418742493993978</v>
      </c>
    </row>
    <row r="51" spans="1:6" x14ac:dyDescent="0.3">
      <c r="A51" s="2">
        <v>0.05</v>
      </c>
      <c r="B51" s="1">
        <v>200</v>
      </c>
      <c r="C51" s="1">
        <v>25</v>
      </c>
      <c r="D51" s="2">
        <v>381.39800000000002</v>
      </c>
      <c r="E51" s="2">
        <v>2.7399999999999993</v>
      </c>
      <c r="F51" s="38">
        <f t="shared" si="0"/>
        <v>2.3106492594074051</v>
      </c>
    </row>
    <row r="52" spans="1:6" x14ac:dyDescent="0.3">
      <c r="A52" s="2">
        <v>0.05</v>
      </c>
      <c r="B52" s="1">
        <v>100</v>
      </c>
      <c r="C52" s="1">
        <v>5</v>
      </c>
      <c r="D52" s="2">
        <v>497.48349999999999</v>
      </c>
      <c r="E52" s="2">
        <v>2.7881999999999998</v>
      </c>
      <c r="F52" s="38">
        <f t="shared" si="0"/>
        <v>2.4611537111688082</v>
      </c>
    </row>
    <row r="53" spans="1:6" x14ac:dyDescent="0.3">
      <c r="A53" s="2">
        <v>0.05</v>
      </c>
      <c r="B53" s="1">
        <v>100</v>
      </c>
      <c r="C53" s="1">
        <v>10</v>
      </c>
      <c r="D53" s="2">
        <v>520.57680000000005</v>
      </c>
      <c r="E53" s="2">
        <v>2.7450000000000001</v>
      </c>
      <c r="F53" s="38">
        <f t="shared" si="0"/>
        <v>2.3262617544034039</v>
      </c>
    </row>
    <row r="54" spans="1:6" x14ac:dyDescent="0.3">
      <c r="A54" s="2">
        <v>0.05</v>
      </c>
      <c r="B54" s="1">
        <v>100</v>
      </c>
      <c r="C54" s="1">
        <v>15</v>
      </c>
      <c r="D54" s="2">
        <v>502.96109999999999</v>
      </c>
      <c r="E54" s="2">
        <v>2.72</v>
      </c>
      <c r="F54" s="38">
        <f t="shared" si="0"/>
        <v>2.248199279423424</v>
      </c>
    </row>
    <row r="55" spans="1:6" x14ac:dyDescent="0.3">
      <c r="A55" s="2">
        <v>0.05</v>
      </c>
      <c r="B55" s="1">
        <v>100</v>
      </c>
      <c r="C55" s="1">
        <v>20</v>
      </c>
      <c r="D55" s="2">
        <v>497.07830000000001</v>
      </c>
      <c r="E55" s="2">
        <v>2.69</v>
      </c>
      <c r="F55" s="38">
        <f t="shared" si="0"/>
        <v>2.1545243094474471</v>
      </c>
    </row>
    <row r="56" spans="1:6" x14ac:dyDescent="0.3">
      <c r="A56" s="2">
        <v>0.05</v>
      </c>
      <c r="B56" s="1">
        <v>100</v>
      </c>
      <c r="C56" s="1">
        <v>25</v>
      </c>
      <c r="D56" s="2">
        <v>482.75150000000002</v>
      </c>
      <c r="E56" s="2">
        <v>2.66</v>
      </c>
      <c r="F56" s="38">
        <f t="shared" si="0"/>
        <v>2.060849339471472</v>
      </c>
    </row>
    <row r="57" spans="1:6" x14ac:dyDescent="0.3">
      <c r="A57" s="2">
        <v>0.05</v>
      </c>
      <c r="B57" s="1">
        <v>125</v>
      </c>
      <c r="C57" s="1">
        <v>5</v>
      </c>
      <c r="D57" s="2">
        <v>497.48349999999999</v>
      </c>
      <c r="E57" s="2">
        <v>2.82</v>
      </c>
      <c r="F57" s="38">
        <f t="shared" si="0"/>
        <v>2.5604491793433426</v>
      </c>
    </row>
    <row r="58" spans="1:6" x14ac:dyDescent="0.3">
      <c r="A58" s="2">
        <v>0.05</v>
      </c>
      <c r="B58" s="1">
        <v>125</v>
      </c>
      <c r="C58" s="1">
        <v>10</v>
      </c>
      <c r="D58" s="2">
        <v>503.08580000000001</v>
      </c>
      <c r="E58" s="2">
        <v>2.77</v>
      </c>
      <c r="F58" s="38">
        <f t="shared" si="0"/>
        <v>2.4043242293833833</v>
      </c>
    </row>
    <row r="59" spans="1:6" x14ac:dyDescent="0.3">
      <c r="A59" s="2">
        <v>0.05</v>
      </c>
      <c r="B59" s="1">
        <v>125</v>
      </c>
      <c r="C59" s="1">
        <v>15</v>
      </c>
      <c r="D59" s="2">
        <v>493.476</v>
      </c>
      <c r="E59" s="2">
        <v>2.75</v>
      </c>
      <c r="F59" s="38">
        <f t="shared" si="0"/>
        <v>2.3418742493993991</v>
      </c>
    </row>
    <row r="60" spans="1:6" x14ac:dyDescent="0.3">
      <c r="A60" s="2">
        <v>0.05</v>
      </c>
      <c r="B60" s="1">
        <v>125</v>
      </c>
      <c r="C60" s="1">
        <v>20</v>
      </c>
      <c r="D60" s="2">
        <v>497.24470000000002</v>
      </c>
      <c r="E60" s="2">
        <v>2.73</v>
      </c>
      <c r="F60" s="38">
        <f t="shared" si="0"/>
        <v>2.2794242694154154</v>
      </c>
    </row>
    <row r="61" spans="1:6" x14ac:dyDescent="0.3">
      <c r="A61" s="2">
        <v>0.05</v>
      </c>
      <c r="B61" s="1">
        <v>125</v>
      </c>
      <c r="C61" s="1">
        <v>25</v>
      </c>
      <c r="D61" s="2">
        <v>516.48990000000003</v>
      </c>
      <c r="E61" s="2">
        <v>2.71</v>
      </c>
      <c r="F61" s="38">
        <f t="shared" si="0"/>
        <v>2.2169742894314313</v>
      </c>
    </row>
    <row r="62" spans="1:6" x14ac:dyDescent="0.3">
      <c r="A62" s="2">
        <v>0.05</v>
      </c>
      <c r="B62" s="1">
        <v>150</v>
      </c>
      <c r="C62" s="1">
        <v>5</v>
      </c>
      <c r="D62" s="2">
        <v>516.62260000000003</v>
      </c>
      <c r="E62" s="2">
        <v>2.85</v>
      </c>
      <c r="F62" s="38">
        <f t="shared" si="0"/>
        <v>2.6541241493193195</v>
      </c>
    </row>
    <row r="63" spans="1:6" x14ac:dyDescent="0.3">
      <c r="A63" s="2">
        <v>0.05</v>
      </c>
      <c r="B63" s="1">
        <v>150</v>
      </c>
      <c r="C63" s="1">
        <v>10</v>
      </c>
      <c r="D63" s="2">
        <v>492.6388</v>
      </c>
      <c r="E63" s="2">
        <v>2.8000000000000003</v>
      </c>
      <c r="F63" s="38">
        <f t="shared" si="0"/>
        <v>2.4979991993593602</v>
      </c>
    </row>
    <row r="64" spans="1:6" x14ac:dyDescent="0.3">
      <c r="A64" s="2">
        <v>0.05</v>
      </c>
      <c r="B64" s="1">
        <v>150</v>
      </c>
      <c r="C64" s="1">
        <v>15</v>
      </c>
      <c r="D64" s="2">
        <v>525.3777</v>
      </c>
      <c r="E64" s="2">
        <v>2.7800000000000002</v>
      </c>
      <c r="F64" s="38">
        <f t="shared" si="0"/>
        <v>2.4355492193753761</v>
      </c>
    </row>
    <row r="65" spans="1:6" x14ac:dyDescent="0.3">
      <c r="A65" s="2">
        <v>0.05</v>
      </c>
      <c r="B65" s="1">
        <v>150</v>
      </c>
      <c r="C65" s="1">
        <v>20</v>
      </c>
      <c r="D65" s="2">
        <v>493.9674</v>
      </c>
      <c r="E65" s="2">
        <v>2.7600000000000002</v>
      </c>
      <c r="F65" s="38">
        <f t="shared" si="0"/>
        <v>2.3730992393913919</v>
      </c>
    </row>
    <row r="66" spans="1:6" x14ac:dyDescent="0.3">
      <c r="A66" s="2">
        <v>0.05</v>
      </c>
      <c r="B66" s="1">
        <v>150</v>
      </c>
      <c r="C66" s="1">
        <v>25</v>
      </c>
      <c r="D66" s="2">
        <v>502.00470000000001</v>
      </c>
      <c r="E66" s="2">
        <v>2.74</v>
      </c>
      <c r="F66" s="38">
        <f t="shared" si="0"/>
        <v>2.3106492594074082</v>
      </c>
    </row>
    <row r="67" spans="1:6" x14ac:dyDescent="0.3">
      <c r="A67" s="2">
        <v>0.05</v>
      </c>
      <c r="B67" s="1">
        <v>175</v>
      </c>
      <c r="C67" s="1">
        <v>5</v>
      </c>
      <c r="D67" s="2">
        <v>520.36410000000001</v>
      </c>
      <c r="E67" s="2">
        <v>2.87</v>
      </c>
      <c r="F67" s="38">
        <f t="shared" ref="F67:F130" si="1">(E67-2)/(2*SQRT(A67/(2-A67)))</f>
        <v>2.7165741293033037</v>
      </c>
    </row>
    <row r="68" spans="1:6" x14ac:dyDescent="0.3">
      <c r="A68" s="2">
        <v>0.05</v>
      </c>
      <c r="B68" s="1">
        <v>175</v>
      </c>
      <c r="C68" s="1">
        <v>10</v>
      </c>
      <c r="D68" s="2">
        <v>493.9513</v>
      </c>
      <c r="E68" s="2">
        <v>2.82</v>
      </c>
      <c r="F68" s="38">
        <f t="shared" si="1"/>
        <v>2.5604491793433426</v>
      </c>
    </row>
    <row r="69" spans="1:6" x14ac:dyDescent="0.3">
      <c r="A69" s="2">
        <v>0.05</v>
      </c>
      <c r="B69" s="1">
        <v>175</v>
      </c>
      <c r="C69" s="1">
        <v>15</v>
      </c>
      <c r="D69" s="2">
        <v>489.4332</v>
      </c>
      <c r="E69" s="2">
        <v>2.8</v>
      </c>
      <c r="F69" s="38">
        <f t="shared" si="1"/>
        <v>2.4979991993593589</v>
      </c>
    </row>
    <row r="70" spans="1:6" x14ac:dyDescent="0.3">
      <c r="A70" s="2">
        <v>0.05</v>
      </c>
      <c r="B70" s="1">
        <v>175</v>
      </c>
      <c r="C70" s="1">
        <v>20</v>
      </c>
      <c r="D70" s="2">
        <v>490.30410000000001</v>
      </c>
      <c r="E70" s="2">
        <v>2.78</v>
      </c>
      <c r="F70" s="38">
        <f t="shared" si="1"/>
        <v>2.4355492193753747</v>
      </c>
    </row>
    <row r="71" spans="1:6" x14ac:dyDescent="0.3">
      <c r="A71" s="2">
        <v>0.05</v>
      </c>
      <c r="B71" s="1">
        <v>175</v>
      </c>
      <c r="C71" s="1">
        <v>25</v>
      </c>
      <c r="D71" s="2">
        <v>485.54079999999999</v>
      </c>
      <c r="E71" s="2">
        <v>2.76</v>
      </c>
      <c r="F71" s="38">
        <f t="shared" si="1"/>
        <v>2.3730992393913906</v>
      </c>
    </row>
    <row r="72" spans="1:6" x14ac:dyDescent="0.3">
      <c r="A72" s="2">
        <v>0.05</v>
      </c>
      <c r="B72" s="1">
        <v>200</v>
      </c>
      <c r="C72" s="1">
        <v>5</v>
      </c>
      <c r="D72" s="2">
        <v>517.96299999999997</v>
      </c>
      <c r="E72" s="2">
        <v>2.89</v>
      </c>
      <c r="F72" s="38">
        <f t="shared" si="1"/>
        <v>2.7790241092872878</v>
      </c>
    </row>
    <row r="73" spans="1:6" x14ac:dyDescent="0.3">
      <c r="A73" s="2">
        <v>0.05</v>
      </c>
      <c r="B73" s="1">
        <v>200</v>
      </c>
      <c r="C73" s="1">
        <v>10</v>
      </c>
      <c r="D73" s="2">
        <v>514.23249999999996</v>
      </c>
      <c r="E73" s="2">
        <v>2.8399999999999994</v>
      </c>
      <c r="F73" s="38">
        <f t="shared" si="1"/>
        <v>2.6228991593273254</v>
      </c>
    </row>
    <row r="74" spans="1:6" x14ac:dyDescent="0.3">
      <c r="A74" s="2">
        <v>0.05</v>
      </c>
      <c r="B74" s="1">
        <v>200</v>
      </c>
      <c r="C74" s="1">
        <v>15</v>
      </c>
      <c r="D74" s="2">
        <v>516.58770000000004</v>
      </c>
      <c r="E74" s="2">
        <v>2.8199999999999994</v>
      </c>
      <c r="F74" s="38">
        <f t="shared" si="1"/>
        <v>2.5604491793433413</v>
      </c>
    </row>
    <row r="75" spans="1:6" x14ac:dyDescent="0.3">
      <c r="A75" s="2">
        <v>0.05</v>
      </c>
      <c r="B75" s="1">
        <v>200</v>
      </c>
      <c r="C75" s="1">
        <v>20</v>
      </c>
      <c r="D75" s="2">
        <v>493.5247</v>
      </c>
      <c r="E75" s="2">
        <v>2.7999999999999994</v>
      </c>
      <c r="F75" s="38">
        <f t="shared" si="1"/>
        <v>2.4979991993593575</v>
      </c>
    </row>
    <row r="76" spans="1:6" x14ac:dyDescent="0.3">
      <c r="A76" s="2">
        <v>0.05</v>
      </c>
      <c r="B76" s="1">
        <v>200</v>
      </c>
      <c r="C76" s="1">
        <v>25</v>
      </c>
      <c r="D76" s="2">
        <v>490.94290000000001</v>
      </c>
      <c r="E76" s="2">
        <v>2.7799999999999994</v>
      </c>
      <c r="F76" s="38">
        <f t="shared" si="1"/>
        <v>2.4355492193753734</v>
      </c>
    </row>
    <row r="77" spans="1:6" x14ac:dyDescent="0.3">
      <c r="A77" s="2">
        <v>0.1</v>
      </c>
      <c r="B77" s="1">
        <v>100</v>
      </c>
      <c r="C77" s="1">
        <v>5</v>
      </c>
      <c r="D77" s="2">
        <v>246.59889999999999</v>
      </c>
      <c r="E77" s="2">
        <v>3.1850000000000001</v>
      </c>
      <c r="F77" s="38">
        <f t="shared" si="1"/>
        <v>2.5826476240478491</v>
      </c>
    </row>
    <row r="78" spans="1:6" x14ac:dyDescent="0.3">
      <c r="A78" s="2">
        <v>0.1</v>
      </c>
      <c r="B78" s="1">
        <v>100</v>
      </c>
      <c r="C78" s="1">
        <v>10</v>
      </c>
      <c r="D78" s="2">
        <v>263.69240000000002</v>
      </c>
      <c r="E78" s="2">
        <v>3.125</v>
      </c>
      <c r="F78" s="38">
        <f t="shared" si="1"/>
        <v>2.4518806557416286</v>
      </c>
    </row>
    <row r="79" spans="1:6" x14ac:dyDescent="0.3">
      <c r="A79" s="2">
        <v>0.1</v>
      </c>
      <c r="B79" s="1">
        <v>100</v>
      </c>
      <c r="C79" s="1">
        <v>15</v>
      </c>
      <c r="D79" s="2">
        <v>249.8827</v>
      </c>
      <c r="E79" s="2">
        <v>3.09</v>
      </c>
      <c r="F79" s="38">
        <f t="shared" si="1"/>
        <v>2.3755999242296668</v>
      </c>
    </row>
    <row r="80" spans="1:6" x14ac:dyDescent="0.3">
      <c r="A80" s="2">
        <v>0.1</v>
      </c>
      <c r="B80" s="1">
        <v>100</v>
      </c>
      <c r="C80" s="1">
        <v>20</v>
      </c>
      <c r="D80" s="2">
        <v>252.4374</v>
      </c>
      <c r="E80" s="2">
        <v>3.06</v>
      </c>
      <c r="F80" s="38">
        <f t="shared" si="1"/>
        <v>2.310216440076557</v>
      </c>
    </row>
    <row r="81" spans="1:6" x14ac:dyDescent="0.3">
      <c r="A81" s="2">
        <v>0.1</v>
      </c>
      <c r="B81" s="1">
        <v>100</v>
      </c>
      <c r="C81" s="1">
        <v>25</v>
      </c>
      <c r="D81" s="2">
        <v>251.3869</v>
      </c>
      <c r="E81" s="2">
        <v>3.02</v>
      </c>
      <c r="F81" s="38">
        <f t="shared" si="1"/>
        <v>2.2230384612057437</v>
      </c>
    </row>
    <row r="82" spans="1:6" x14ac:dyDescent="0.3">
      <c r="A82" s="2">
        <v>0.1</v>
      </c>
      <c r="B82" s="1">
        <v>125</v>
      </c>
      <c r="C82" s="1">
        <v>5</v>
      </c>
      <c r="D82" s="2">
        <v>252.6018</v>
      </c>
      <c r="E82" s="2">
        <v>3.25</v>
      </c>
      <c r="F82" s="38">
        <f t="shared" si="1"/>
        <v>2.7243118397129207</v>
      </c>
    </row>
    <row r="83" spans="1:6" x14ac:dyDescent="0.3">
      <c r="A83" s="2">
        <v>0.1</v>
      </c>
      <c r="B83" s="1">
        <v>125</v>
      </c>
      <c r="C83" s="1">
        <v>10</v>
      </c>
      <c r="D83" s="2">
        <v>259.27539999999999</v>
      </c>
      <c r="E83" s="2">
        <v>3.17</v>
      </c>
      <c r="F83" s="38">
        <f t="shared" si="1"/>
        <v>2.549955881971294</v>
      </c>
    </row>
    <row r="84" spans="1:6" x14ac:dyDescent="0.3">
      <c r="A84" s="2">
        <v>0.1</v>
      </c>
      <c r="B84" s="1">
        <v>125</v>
      </c>
      <c r="C84" s="1">
        <v>15</v>
      </c>
      <c r="D84" s="2">
        <v>260.75229999999999</v>
      </c>
      <c r="E84" s="2">
        <v>3.14</v>
      </c>
      <c r="F84" s="38">
        <f t="shared" si="1"/>
        <v>2.4845723978181842</v>
      </c>
    </row>
    <row r="85" spans="1:6" x14ac:dyDescent="0.3">
      <c r="A85" s="2">
        <v>0.1</v>
      </c>
      <c r="B85" s="1">
        <v>125</v>
      </c>
      <c r="C85" s="1">
        <v>20</v>
      </c>
      <c r="D85" s="2">
        <v>262.5849</v>
      </c>
      <c r="E85" s="2">
        <v>3.12</v>
      </c>
      <c r="F85" s="38">
        <f t="shared" si="1"/>
        <v>2.4409834083827775</v>
      </c>
    </row>
    <row r="86" spans="1:6" x14ac:dyDescent="0.3">
      <c r="A86" s="2">
        <v>0.1</v>
      </c>
      <c r="B86" s="1">
        <v>125</v>
      </c>
      <c r="C86" s="1">
        <v>25</v>
      </c>
      <c r="D86" s="2">
        <v>254.1798</v>
      </c>
      <c r="E86" s="2">
        <v>3.09</v>
      </c>
      <c r="F86" s="38">
        <f t="shared" si="1"/>
        <v>2.3755999242296668</v>
      </c>
    </row>
    <row r="87" spans="1:6" x14ac:dyDescent="0.3">
      <c r="A87" s="2">
        <v>0.1</v>
      </c>
      <c r="B87" s="1">
        <v>150</v>
      </c>
      <c r="C87" s="1">
        <v>5</v>
      </c>
      <c r="D87" s="2">
        <v>238.48570000000001</v>
      </c>
      <c r="E87" s="2">
        <v>3.26</v>
      </c>
      <c r="F87" s="38">
        <f t="shared" si="1"/>
        <v>2.7461063344306238</v>
      </c>
    </row>
    <row r="88" spans="1:6" x14ac:dyDescent="0.3">
      <c r="A88" s="2">
        <v>0.1</v>
      </c>
      <c r="B88" s="1">
        <v>150</v>
      </c>
      <c r="C88" s="1">
        <v>10</v>
      </c>
      <c r="D88" s="2">
        <v>257.2912</v>
      </c>
      <c r="E88" s="2">
        <v>3.1949999999999998</v>
      </c>
      <c r="F88" s="38">
        <f t="shared" si="1"/>
        <v>2.6044421187655522</v>
      </c>
    </row>
    <row r="89" spans="1:6" x14ac:dyDescent="0.3">
      <c r="A89" s="2">
        <v>0.1</v>
      </c>
      <c r="B89" s="1">
        <v>150</v>
      </c>
      <c r="C89" s="1">
        <v>15</v>
      </c>
      <c r="D89" s="2">
        <v>261.40019999999998</v>
      </c>
      <c r="E89" s="2">
        <v>3.1750000000000003</v>
      </c>
      <c r="F89" s="38">
        <f t="shared" si="1"/>
        <v>2.5608531293301464</v>
      </c>
    </row>
    <row r="90" spans="1:6" x14ac:dyDescent="0.3">
      <c r="A90" s="2">
        <v>0.1</v>
      </c>
      <c r="B90" s="1">
        <v>150</v>
      </c>
      <c r="C90" s="1">
        <v>20</v>
      </c>
      <c r="D90" s="2">
        <v>254.27680000000001</v>
      </c>
      <c r="E90" s="2">
        <v>3.15</v>
      </c>
      <c r="F90" s="38">
        <f t="shared" si="1"/>
        <v>2.5063668925358868</v>
      </c>
    </row>
    <row r="91" spans="1:6" x14ac:dyDescent="0.3">
      <c r="A91" s="2">
        <v>0.1</v>
      </c>
      <c r="B91" s="1">
        <v>150</v>
      </c>
      <c r="C91" s="1">
        <v>25</v>
      </c>
      <c r="D91" s="2">
        <v>249.3579</v>
      </c>
      <c r="E91" s="2">
        <v>3.12</v>
      </c>
      <c r="F91" s="38">
        <f t="shared" si="1"/>
        <v>2.4409834083827775</v>
      </c>
    </row>
    <row r="92" spans="1:6" x14ac:dyDescent="0.3">
      <c r="A92" s="2">
        <v>0.1</v>
      </c>
      <c r="B92" s="1">
        <v>175</v>
      </c>
      <c r="C92" s="1">
        <v>5</v>
      </c>
      <c r="D92" s="2">
        <v>260.21249999999998</v>
      </c>
      <c r="E92" s="2">
        <v>3.3180000000000001</v>
      </c>
      <c r="F92" s="38">
        <f t="shared" si="1"/>
        <v>2.8725144037933039</v>
      </c>
    </row>
    <row r="93" spans="1:6" x14ac:dyDescent="0.3">
      <c r="A93" s="2">
        <v>0.1</v>
      </c>
      <c r="B93" s="1">
        <v>175</v>
      </c>
      <c r="C93" s="1">
        <v>10</v>
      </c>
      <c r="D93" s="2">
        <v>250.0025</v>
      </c>
      <c r="E93" s="2">
        <v>3.2130000000000001</v>
      </c>
      <c r="F93" s="38">
        <f t="shared" si="1"/>
        <v>2.6436722092574185</v>
      </c>
    </row>
    <row r="94" spans="1:6" x14ac:dyDescent="0.3">
      <c r="A94" s="2">
        <v>0.1</v>
      </c>
      <c r="B94" s="1">
        <v>175</v>
      </c>
      <c r="C94" s="1">
        <v>15</v>
      </c>
      <c r="D94" s="2">
        <v>255.06190000000001</v>
      </c>
      <c r="E94" s="2">
        <v>3.2</v>
      </c>
      <c r="F94" s="38">
        <f t="shared" si="1"/>
        <v>2.6153393661244047</v>
      </c>
    </row>
    <row r="95" spans="1:6" x14ac:dyDescent="0.3">
      <c r="A95" s="2">
        <v>0.1</v>
      </c>
      <c r="B95" s="1">
        <v>175</v>
      </c>
      <c r="C95" s="1">
        <v>20</v>
      </c>
      <c r="D95" s="2">
        <v>259.74009999999998</v>
      </c>
      <c r="E95" s="2">
        <v>3.18</v>
      </c>
      <c r="F95" s="38">
        <f t="shared" si="1"/>
        <v>2.5717503766889975</v>
      </c>
    </row>
    <row r="96" spans="1:6" x14ac:dyDescent="0.3">
      <c r="A96" s="2">
        <v>0.1</v>
      </c>
      <c r="B96" s="1">
        <v>175</v>
      </c>
      <c r="C96" s="1">
        <v>25</v>
      </c>
      <c r="D96" s="2">
        <v>252.51079999999999</v>
      </c>
      <c r="E96" s="2">
        <v>3.15</v>
      </c>
      <c r="F96" s="38">
        <f t="shared" si="1"/>
        <v>2.5063668925358868</v>
      </c>
    </row>
    <row r="97" spans="1:6" x14ac:dyDescent="0.3">
      <c r="A97" s="2">
        <v>0.1</v>
      </c>
      <c r="B97" s="1">
        <v>200</v>
      </c>
      <c r="C97" s="1">
        <v>5</v>
      </c>
      <c r="D97" s="2">
        <v>259.14370000000002</v>
      </c>
      <c r="E97" s="2">
        <v>3.3359999999999999</v>
      </c>
      <c r="F97" s="38">
        <f t="shared" si="1"/>
        <v>2.9117444942851693</v>
      </c>
    </row>
    <row r="98" spans="1:6" x14ac:dyDescent="0.3">
      <c r="A98" s="2">
        <v>0.1</v>
      </c>
      <c r="B98" s="1">
        <v>200</v>
      </c>
      <c r="C98" s="1">
        <v>10</v>
      </c>
      <c r="D98" s="2">
        <v>247.39699999999999</v>
      </c>
      <c r="E98" s="2">
        <v>3.2310000000000003</v>
      </c>
      <c r="F98" s="38">
        <f t="shared" si="1"/>
        <v>2.6829022997492853</v>
      </c>
    </row>
    <row r="99" spans="1:6" x14ac:dyDescent="0.3">
      <c r="A99" s="2">
        <v>0.1</v>
      </c>
      <c r="B99" s="1">
        <v>200</v>
      </c>
      <c r="C99" s="1">
        <v>15</v>
      </c>
      <c r="D99" s="2">
        <v>256.9649</v>
      </c>
      <c r="E99" s="2">
        <v>3.2250000000000001</v>
      </c>
      <c r="F99" s="38">
        <f t="shared" si="1"/>
        <v>2.6698256029186629</v>
      </c>
    </row>
    <row r="100" spans="1:6" x14ac:dyDescent="0.3">
      <c r="A100" s="2">
        <v>0.1</v>
      </c>
      <c r="B100" s="1">
        <v>200</v>
      </c>
      <c r="C100" s="1">
        <v>20</v>
      </c>
      <c r="D100" s="2">
        <v>264.72719999999998</v>
      </c>
      <c r="E100" s="2">
        <v>3.2100000000000004</v>
      </c>
      <c r="F100" s="38">
        <f t="shared" si="1"/>
        <v>2.6371338608421082</v>
      </c>
    </row>
    <row r="101" spans="1:6" x14ac:dyDescent="0.3">
      <c r="A101" s="2">
        <v>0.1</v>
      </c>
      <c r="B101" s="1">
        <v>200</v>
      </c>
      <c r="C101" s="1">
        <v>25</v>
      </c>
      <c r="D101" s="2">
        <v>257.19439999999997</v>
      </c>
      <c r="E101" s="2">
        <v>3.1799999999999997</v>
      </c>
      <c r="F101" s="38">
        <f t="shared" si="1"/>
        <v>2.5717503766889966</v>
      </c>
    </row>
    <row r="102" spans="1:6" x14ac:dyDescent="0.3">
      <c r="A102" s="2">
        <v>0.1</v>
      </c>
      <c r="B102" s="1">
        <v>100</v>
      </c>
      <c r="C102" s="1">
        <v>5</v>
      </c>
      <c r="D102" s="2">
        <v>385.5265</v>
      </c>
      <c r="E102" s="2">
        <v>3.3458000000000001</v>
      </c>
      <c r="F102" s="38">
        <f t="shared" si="1"/>
        <v>2.9331030991085192</v>
      </c>
    </row>
    <row r="103" spans="1:6" x14ac:dyDescent="0.3">
      <c r="A103" s="2">
        <v>0.1</v>
      </c>
      <c r="B103" s="1">
        <v>100</v>
      </c>
      <c r="C103" s="1">
        <v>10</v>
      </c>
      <c r="D103" s="2">
        <v>356.6816</v>
      </c>
      <c r="E103" s="2">
        <v>3.2</v>
      </c>
      <c r="F103" s="38">
        <f t="shared" si="1"/>
        <v>2.6153393661244047</v>
      </c>
    </row>
    <row r="104" spans="1:6" x14ac:dyDescent="0.3">
      <c r="A104" s="2">
        <v>0.1</v>
      </c>
      <c r="B104" s="1">
        <v>100</v>
      </c>
      <c r="C104" s="1">
        <v>15</v>
      </c>
      <c r="D104" s="2">
        <v>369.58100000000002</v>
      </c>
      <c r="E104" s="2">
        <v>3.17</v>
      </c>
      <c r="F104" s="38">
        <f t="shared" si="1"/>
        <v>2.549955881971294</v>
      </c>
    </row>
    <row r="105" spans="1:6" x14ac:dyDescent="0.3">
      <c r="A105" s="2">
        <v>0.1</v>
      </c>
      <c r="B105" s="1">
        <v>100</v>
      </c>
      <c r="C105" s="1">
        <v>20</v>
      </c>
      <c r="D105" s="2">
        <v>354.31830000000002</v>
      </c>
      <c r="E105" s="2">
        <v>3.14</v>
      </c>
      <c r="F105" s="38">
        <f t="shared" si="1"/>
        <v>2.4845723978181842</v>
      </c>
    </row>
    <row r="106" spans="1:6" x14ac:dyDescent="0.3">
      <c r="A106" s="2">
        <v>0.1</v>
      </c>
      <c r="B106" s="1">
        <v>100</v>
      </c>
      <c r="C106" s="1">
        <v>25</v>
      </c>
      <c r="D106" s="2">
        <v>380.88339999999999</v>
      </c>
      <c r="E106" s="2">
        <v>3.11</v>
      </c>
      <c r="F106" s="38">
        <f t="shared" si="1"/>
        <v>2.4191889136650735</v>
      </c>
    </row>
    <row r="107" spans="1:6" x14ac:dyDescent="0.3">
      <c r="A107" s="2">
        <v>0.1</v>
      </c>
      <c r="B107" s="1">
        <v>125</v>
      </c>
      <c r="C107" s="1">
        <v>5</v>
      </c>
      <c r="D107" s="2">
        <v>356.80099999999999</v>
      </c>
      <c r="E107" s="2">
        <v>3.3519999999999999</v>
      </c>
      <c r="F107" s="38">
        <f t="shared" si="1"/>
        <v>2.9466156858334949</v>
      </c>
    </row>
    <row r="108" spans="1:6" x14ac:dyDescent="0.3">
      <c r="A108" s="2">
        <v>0.1</v>
      </c>
      <c r="B108" s="1">
        <v>125</v>
      </c>
      <c r="C108" s="1">
        <v>10</v>
      </c>
      <c r="D108" s="2">
        <v>372.7133</v>
      </c>
      <c r="E108" s="2">
        <v>3.26</v>
      </c>
      <c r="F108" s="38">
        <f t="shared" si="1"/>
        <v>2.7461063344306238</v>
      </c>
    </row>
    <row r="109" spans="1:6" x14ac:dyDescent="0.3">
      <c r="A109" s="2">
        <v>0.1</v>
      </c>
      <c r="B109" s="1">
        <v>125</v>
      </c>
      <c r="C109" s="1">
        <v>15</v>
      </c>
      <c r="D109" s="2">
        <v>369.27269999999999</v>
      </c>
      <c r="E109" s="2">
        <v>3.23</v>
      </c>
      <c r="F109" s="38">
        <f t="shared" si="1"/>
        <v>2.680722850277514</v>
      </c>
    </row>
    <row r="110" spans="1:6" x14ac:dyDescent="0.3">
      <c r="A110" s="2">
        <v>0.1</v>
      </c>
      <c r="B110" s="1">
        <v>125</v>
      </c>
      <c r="C110" s="1">
        <v>20</v>
      </c>
      <c r="D110" s="2">
        <v>367.87240000000003</v>
      </c>
      <c r="E110" s="2">
        <v>3.2</v>
      </c>
      <c r="F110" s="38">
        <f t="shared" si="1"/>
        <v>2.6153393661244047</v>
      </c>
    </row>
    <row r="111" spans="1:6" x14ac:dyDescent="0.3">
      <c r="A111" s="2">
        <v>0.1</v>
      </c>
      <c r="B111" s="1">
        <v>125</v>
      </c>
      <c r="C111" s="1">
        <v>25</v>
      </c>
      <c r="D111" s="2">
        <v>385.983</v>
      </c>
      <c r="E111" s="2">
        <v>3.1749999999999998</v>
      </c>
      <c r="F111" s="38">
        <f t="shared" si="1"/>
        <v>2.5608531293301451</v>
      </c>
    </row>
    <row r="112" spans="1:6" x14ac:dyDescent="0.3">
      <c r="A112" s="2">
        <v>0.1</v>
      </c>
      <c r="B112" s="1">
        <v>150</v>
      </c>
      <c r="C112" s="1">
        <v>5</v>
      </c>
      <c r="D112" s="2">
        <v>367.15499999999997</v>
      </c>
      <c r="E112" s="2">
        <v>3.39</v>
      </c>
      <c r="F112" s="38">
        <f t="shared" si="1"/>
        <v>3.0294347657607683</v>
      </c>
    </row>
    <row r="113" spans="1:6" x14ac:dyDescent="0.3">
      <c r="A113" s="2">
        <v>0.1</v>
      </c>
      <c r="B113" s="1">
        <v>150</v>
      </c>
      <c r="C113" s="1">
        <v>10</v>
      </c>
      <c r="D113" s="2">
        <v>375.3374</v>
      </c>
      <c r="E113" s="2">
        <v>3.3</v>
      </c>
      <c r="F113" s="38">
        <f t="shared" si="1"/>
        <v>2.8332843133014372</v>
      </c>
    </row>
    <row r="114" spans="1:6" x14ac:dyDescent="0.3">
      <c r="A114" s="2">
        <v>0.1</v>
      </c>
      <c r="B114" s="1">
        <v>150</v>
      </c>
      <c r="C114" s="1">
        <v>15</v>
      </c>
      <c r="D114" s="2">
        <v>373.76589999999999</v>
      </c>
      <c r="E114" s="2">
        <v>3.2650000000000001</v>
      </c>
      <c r="F114" s="38">
        <f t="shared" si="1"/>
        <v>2.7570035817894762</v>
      </c>
    </row>
    <row r="115" spans="1:6" x14ac:dyDescent="0.3">
      <c r="A115" s="2">
        <v>0.1</v>
      </c>
      <c r="B115" s="1">
        <v>150</v>
      </c>
      <c r="C115" s="1">
        <v>20</v>
      </c>
      <c r="D115" s="2">
        <v>367.80239999999998</v>
      </c>
      <c r="E115" s="2">
        <v>3.2330000000000005</v>
      </c>
      <c r="F115" s="38">
        <f t="shared" si="1"/>
        <v>2.6872611986928265</v>
      </c>
    </row>
    <row r="116" spans="1:6" x14ac:dyDescent="0.3">
      <c r="A116" s="2">
        <v>0.1</v>
      </c>
      <c r="B116" s="1">
        <v>150</v>
      </c>
      <c r="C116" s="1">
        <v>25</v>
      </c>
      <c r="D116" s="2">
        <v>383.64760000000001</v>
      </c>
      <c r="E116" s="2">
        <v>3.22</v>
      </c>
      <c r="F116" s="38">
        <f t="shared" si="1"/>
        <v>2.6589283555598113</v>
      </c>
    </row>
    <row r="117" spans="1:6" x14ac:dyDescent="0.3">
      <c r="A117" s="2">
        <v>0.1</v>
      </c>
      <c r="B117" s="1">
        <v>175</v>
      </c>
      <c r="C117" s="1">
        <v>5</v>
      </c>
      <c r="D117" s="2">
        <v>378.38630000000001</v>
      </c>
      <c r="E117" s="2">
        <v>3.4299999999999997</v>
      </c>
      <c r="F117" s="38">
        <f t="shared" si="1"/>
        <v>3.1166127446315808</v>
      </c>
    </row>
    <row r="118" spans="1:6" x14ac:dyDescent="0.3">
      <c r="A118" s="2">
        <v>0.1</v>
      </c>
      <c r="B118" s="1">
        <v>175</v>
      </c>
      <c r="C118" s="1">
        <v>10</v>
      </c>
      <c r="D118" s="2">
        <v>373.03019999999998</v>
      </c>
      <c r="E118" s="2">
        <v>3.3329999999999997</v>
      </c>
      <c r="F118" s="38">
        <f t="shared" si="1"/>
        <v>2.9052061458698581</v>
      </c>
    </row>
    <row r="119" spans="1:6" x14ac:dyDescent="0.3">
      <c r="A119" s="2">
        <v>0.1</v>
      </c>
      <c r="B119" s="1">
        <v>175</v>
      </c>
      <c r="C119" s="1">
        <v>15</v>
      </c>
      <c r="D119" s="2">
        <v>382.79750000000001</v>
      </c>
      <c r="E119" s="2">
        <v>3.3029999999999999</v>
      </c>
      <c r="F119" s="38">
        <f t="shared" si="1"/>
        <v>2.8398226617167488</v>
      </c>
    </row>
    <row r="120" spans="1:6" x14ac:dyDescent="0.3">
      <c r="A120" s="2">
        <v>0.1</v>
      </c>
      <c r="B120" s="1">
        <v>175</v>
      </c>
      <c r="C120" s="1">
        <v>20</v>
      </c>
      <c r="D120" s="2">
        <v>365.3972</v>
      </c>
      <c r="E120" s="2">
        <v>3.2630000000000003</v>
      </c>
      <c r="F120" s="38">
        <f t="shared" si="1"/>
        <v>2.7526446828459359</v>
      </c>
    </row>
    <row r="121" spans="1:6" x14ac:dyDescent="0.3">
      <c r="A121" s="2">
        <v>0.1</v>
      </c>
      <c r="B121" s="1">
        <v>175</v>
      </c>
      <c r="C121" s="1">
        <v>25</v>
      </c>
      <c r="D121" s="2">
        <v>366.0093</v>
      </c>
      <c r="E121" s="2">
        <v>3.2449999999999997</v>
      </c>
      <c r="F121" s="38">
        <f t="shared" si="1"/>
        <v>2.7134145923540687</v>
      </c>
    </row>
    <row r="122" spans="1:6" x14ac:dyDescent="0.3">
      <c r="A122" s="2">
        <v>0.1</v>
      </c>
      <c r="B122" s="1">
        <v>200</v>
      </c>
      <c r="C122" s="1">
        <v>5</v>
      </c>
      <c r="D122" s="2">
        <v>370.02319999999997</v>
      </c>
      <c r="E122" s="2">
        <v>3.45</v>
      </c>
      <c r="F122" s="38">
        <f t="shared" si="1"/>
        <v>3.1602017340669888</v>
      </c>
    </row>
    <row r="123" spans="1:6" x14ac:dyDescent="0.3">
      <c r="A123" s="2">
        <v>0.1</v>
      </c>
      <c r="B123" s="1">
        <v>200</v>
      </c>
      <c r="C123" s="1">
        <v>10</v>
      </c>
      <c r="D123" s="2">
        <v>366.36840000000001</v>
      </c>
      <c r="E123" s="2">
        <v>3.3460000000000001</v>
      </c>
      <c r="F123" s="38">
        <f t="shared" si="1"/>
        <v>2.9335389890028734</v>
      </c>
    </row>
    <row r="124" spans="1:6" x14ac:dyDescent="0.3">
      <c r="A124" s="2">
        <v>0.1</v>
      </c>
      <c r="B124" s="1">
        <v>200</v>
      </c>
      <c r="C124" s="1">
        <v>15</v>
      </c>
      <c r="D124" s="2">
        <v>352.19630000000001</v>
      </c>
      <c r="E124" s="2">
        <v>3.3109999999999999</v>
      </c>
      <c r="F124" s="38">
        <f t="shared" si="1"/>
        <v>2.8572582574909111</v>
      </c>
    </row>
    <row r="125" spans="1:6" x14ac:dyDescent="0.3">
      <c r="A125" s="2">
        <v>0.1</v>
      </c>
      <c r="B125" s="1">
        <v>200</v>
      </c>
      <c r="C125" s="1">
        <v>20</v>
      </c>
      <c r="D125" s="2">
        <v>369.62990000000002</v>
      </c>
      <c r="E125" s="2">
        <v>3.2930000000000001</v>
      </c>
      <c r="F125" s="38">
        <f t="shared" si="1"/>
        <v>2.8180281669990457</v>
      </c>
    </row>
    <row r="126" spans="1:6" x14ac:dyDescent="0.3">
      <c r="A126" s="2">
        <v>0.1</v>
      </c>
      <c r="B126" s="1">
        <v>200</v>
      </c>
      <c r="C126" s="1">
        <v>25</v>
      </c>
      <c r="D126" s="2">
        <v>372.7371</v>
      </c>
      <c r="E126" s="2">
        <v>3.2699999999999991</v>
      </c>
      <c r="F126" s="38">
        <f t="shared" si="1"/>
        <v>2.7679008291483256</v>
      </c>
    </row>
    <row r="127" spans="1:6" x14ac:dyDescent="0.3">
      <c r="A127" s="2">
        <v>0.1</v>
      </c>
      <c r="B127" s="1">
        <v>100</v>
      </c>
      <c r="C127" s="1">
        <v>5</v>
      </c>
      <c r="D127" s="2">
        <v>504.0634</v>
      </c>
      <c r="E127" s="2">
        <v>3.4039999999999999</v>
      </c>
      <c r="F127" s="38">
        <f t="shared" si="1"/>
        <v>3.0599470583655526</v>
      </c>
    </row>
    <row r="128" spans="1:6" x14ac:dyDescent="0.3">
      <c r="A128" s="2">
        <v>0.1</v>
      </c>
      <c r="B128" s="1">
        <v>100</v>
      </c>
      <c r="C128" s="1">
        <v>10</v>
      </c>
      <c r="D128" s="2">
        <v>492.1857</v>
      </c>
      <c r="E128" s="2">
        <v>3.28</v>
      </c>
      <c r="F128" s="38">
        <f t="shared" si="1"/>
        <v>2.7896953238660305</v>
      </c>
    </row>
    <row r="129" spans="1:6" x14ac:dyDescent="0.3">
      <c r="A129" s="2">
        <v>0.1</v>
      </c>
      <c r="B129" s="1">
        <v>100</v>
      </c>
      <c r="C129" s="1">
        <v>15</v>
      </c>
      <c r="D129" s="2">
        <v>486.40109999999999</v>
      </c>
      <c r="E129" s="2">
        <v>3.24</v>
      </c>
      <c r="F129" s="38">
        <f t="shared" si="1"/>
        <v>2.702517344995218</v>
      </c>
    </row>
    <row r="130" spans="1:6" x14ac:dyDescent="0.3">
      <c r="A130" s="2">
        <v>0.1</v>
      </c>
      <c r="B130" s="1">
        <v>100</v>
      </c>
      <c r="C130" s="1">
        <v>20</v>
      </c>
      <c r="D130" s="2">
        <v>488.66590000000002</v>
      </c>
      <c r="E130" s="2">
        <v>3.21</v>
      </c>
      <c r="F130" s="38">
        <f t="shared" si="1"/>
        <v>2.6371338608421073</v>
      </c>
    </row>
    <row r="131" spans="1:6" x14ac:dyDescent="0.3">
      <c r="A131" s="2">
        <v>0.1</v>
      </c>
      <c r="B131" s="1">
        <v>100</v>
      </c>
      <c r="C131" s="1">
        <v>25</v>
      </c>
      <c r="D131" s="2">
        <v>505.87139999999999</v>
      </c>
      <c r="E131" s="2">
        <v>3.19</v>
      </c>
      <c r="F131" s="38">
        <f t="shared" ref="F131:F194" si="2">(E131-2)/(2*SQRT(A131/(2-A131)))</f>
        <v>2.5935448714067006</v>
      </c>
    </row>
    <row r="132" spans="1:6" x14ac:dyDescent="0.3">
      <c r="A132" s="2">
        <v>0.1</v>
      </c>
      <c r="B132" s="1">
        <v>125</v>
      </c>
      <c r="C132" s="1">
        <v>5</v>
      </c>
      <c r="D132" s="2">
        <v>484.77460000000002</v>
      </c>
      <c r="E132" s="2">
        <v>3.4420000000000002</v>
      </c>
      <c r="F132" s="38">
        <f t="shared" si="2"/>
        <v>3.142766138292826</v>
      </c>
    </row>
    <row r="133" spans="1:6" x14ac:dyDescent="0.3">
      <c r="A133" s="2">
        <v>0.1</v>
      </c>
      <c r="B133" s="1">
        <v>125</v>
      </c>
      <c r="C133" s="1">
        <v>10</v>
      </c>
      <c r="D133" s="2">
        <v>505.87139999999999</v>
      </c>
      <c r="E133" s="2">
        <v>3.34</v>
      </c>
      <c r="F133" s="38">
        <f t="shared" si="2"/>
        <v>2.920462292172251</v>
      </c>
    </row>
    <row r="134" spans="1:6" x14ac:dyDescent="0.3">
      <c r="A134" s="2">
        <v>0.1</v>
      </c>
      <c r="B134" s="1">
        <v>125</v>
      </c>
      <c r="C134" s="1">
        <v>15</v>
      </c>
      <c r="D134" s="2">
        <v>477.41449999999998</v>
      </c>
      <c r="E134" s="2">
        <v>3.29</v>
      </c>
      <c r="F134" s="38">
        <f t="shared" si="2"/>
        <v>2.8114898185837345</v>
      </c>
    </row>
    <row r="135" spans="1:6" x14ac:dyDescent="0.3">
      <c r="A135" s="2">
        <v>0.1</v>
      </c>
      <c r="B135" s="1">
        <v>125</v>
      </c>
      <c r="C135" s="1">
        <v>20</v>
      </c>
      <c r="D135" s="2">
        <v>526.49720000000002</v>
      </c>
      <c r="E135" s="2">
        <v>3.28</v>
      </c>
      <c r="F135" s="38">
        <f t="shared" si="2"/>
        <v>2.7896953238660305</v>
      </c>
    </row>
    <row r="136" spans="1:6" x14ac:dyDescent="0.3">
      <c r="A136" s="2">
        <v>0.1</v>
      </c>
      <c r="B136" s="1">
        <v>125</v>
      </c>
      <c r="C136" s="1">
        <v>25</v>
      </c>
      <c r="D136" s="2">
        <v>514.8424</v>
      </c>
      <c r="E136" s="2">
        <v>3.25</v>
      </c>
      <c r="F136" s="38">
        <f t="shared" si="2"/>
        <v>2.7243118397129207</v>
      </c>
    </row>
    <row r="137" spans="1:6" x14ac:dyDescent="0.3">
      <c r="A137" s="2">
        <v>0.1</v>
      </c>
      <c r="B137" s="1">
        <v>150</v>
      </c>
      <c r="C137" s="1">
        <v>5</v>
      </c>
      <c r="D137" s="2">
        <v>503.38529999999997</v>
      </c>
      <c r="E137" s="2">
        <v>3.4950000000000001</v>
      </c>
      <c r="F137" s="38">
        <f t="shared" si="2"/>
        <v>3.2582769602966537</v>
      </c>
    </row>
    <row r="138" spans="1:6" x14ac:dyDescent="0.3">
      <c r="A138" s="2">
        <v>0.1</v>
      </c>
      <c r="B138" s="1">
        <v>150</v>
      </c>
      <c r="C138" s="1">
        <v>10</v>
      </c>
      <c r="D138" s="2">
        <v>521.52409999999998</v>
      </c>
      <c r="E138" s="2">
        <v>3.3929999999999998</v>
      </c>
      <c r="F138" s="38">
        <f t="shared" si="2"/>
        <v>3.0359731141760786</v>
      </c>
    </row>
    <row r="139" spans="1:6" x14ac:dyDescent="0.3">
      <c r="A139" s="2">
        <v>0.1</v>
      </c>
      <c r="B139" s="1">
        <v>150</v>
      </c>
      <c r="C139" s="1">
        <v>15</v>
      </c>
      <c r="D139" s="2">
        <v>503.63569999999999</v>
      </c>
      <c r="E139" s="2">
        <v>3.343</v>
      </c>
      <c r="F139" s="38">
        <f t="shared" si="2"/>
        <v>2.9270006405875622</v>
      </c>
    </row>
    <row r="140" spans="1:6" x14ac:dyDescent="0.3">
      <c r="A140" s="2">
        <v>0.1</v>
      </c>
      <c r="B140" s="1">
        <v>150</v>
      </c>
      <c r="C140" s="1">
        <v>20</v>
      </c>
      <c r="D140" s="2">
        <v>521.58680000000004</v>
      </c>
      <c r="E140" s="2">
        <v>3.3130000000000002</v>
      </c>
      <c r="F140" s="38">
        <f t="shared" si="2"/>
        <v>2.8616171564344524</v>
      </c>
    </row>
    <row r="141" spans="1:6" x14ac:dyDescent="0.3">
      <c r="A141" s="2">
        <v>0.1</v>
      </c>
      <c r="B141" s="1">
        <v>150</v>
      </c>
      <c r="C141" s="1">
        <v>25</v>
      </c>
      <c r="D141" s="2">
        <v>519.50699999999995</v>
      </c>
      <c r="E141" s="2">
        <v>3.2949999999999999</v>
      </c>
      <c r="F141" s="38">
        <f t="shared" si="2"/>
        <v>2.822387065942586</v>
      </c>
    </row>
    <row r="142" spans="1:6" x14ac:dyDescent="0.3">
      <c r="A142" s="2">
        <v>0.1</v>
      </c>
      <c r="B142" s="1">
        <v>175</v>
      </c>
      <c r="C142" s="1">
        <v>5</v>
      </c>
      <c r="D142" s="2">
        <v>496.52690000000001</v>
      </c>
      <c r="E142" s="2">
        <v>3.52</v>
      </c>
      <c r="F142" s="38">
        <f t="shared" si="2"/>
        <v>3.3127631970909119</v>
      </c>
    </row>
    <row r="143" spans="1:6" x14ac:dyDescent="0.3">
      <c r="A143" s="2">
        <v>0.1</v>
      </c>
      <c r="B143" s="1">
        <v>175</v>
      </c>
      <c r="C143" s="1">
        <v>10</v>
      </c>
      <c r="D143" s="2">
        <v>510.8895</v>
      </c>
      <c r="E143" s="2">
        <v>3.4129999999999998</v>
      </c>
      <c r="F143" s="38">
        <f t="shared" si="2"/>
        <v>3.0795621036114853</v>
      </c>
    </row>
    <row r="144" spans="1:6" x14ac:dyDescent="0.3">
      <c r="A144" s="2">
        <v>0.1</v>
      </c>
      <c r="B144" s="1">
        <v>175</v>
      </c>
      <c r="C144" s="1">
        <v>15</v>
      </c>
      <c r="D144" s="2">
        <v>491.41969999999998</v>
      </c>
      <c r="E144" s="2">
        <v>3.363</v>
      </c>
      <c r="F144" s="38">
        <f t="shared" si="2"/>
        <v>2.9705896300229688</v>
      </c>
    </row>
    <row r="145" spans="1:6" x14ac:dyDescent="0.3">
      <c r="A145" s="2">
        <v>0.1</v>
      </c>
      <c r="B145" s="1">
        <v>175</v>
      </c>
      <c r="C145" s="1">
        <v>20</v>
      </c>
      <c r="D145" s="2">
        <v>497.4402</v>
      </c>
      <c r="E145" s="2">
        <v>3.343</v>
      </c>
      <c r="F145" s="38">
        <f t="shared" si="2"/>
        <v>2.9270006405875622</v>
      </c>
    </row>
    <row r="146" spans="1:6" x14ac:dyDescent="0.3">
      <c r="A146" s="2">
        <v>0.1</v>
      </c>
      <c r="B146" s="1">
        <v>175</v>
      </c>
      <c r="C146" s="1">
        <v>25</v>
      </c>
      <c r="D146" s="2">
        <v>495.72669999999999</v>
      </c>
      <c r="E146" s="2">
        <v>3.32</v>
      </c>
      <c r="F146" s="38">
        <f t="shared" si="2"/>
        <v>2.8768733027368443</v>
      </c>
    </row>
    <row r="147" spans="1:6" x14ac:dyDescent="0.3">
      <c r="A147" s="2">
        <v>0.1</v>
      </c>
      <c r="B147" s="1">
        <v>200</v>
      </c>
      <c r="C147" s="1">
        <v>5</v>
      </c>
      <c r="D147" s="2">
        <v>499.50810000000001</v>
      </c>
      <c r="E147" s="2">
        <v>3.5449999999999999</v>
      </c>
      <c r="F147" s="38">
        <f t="shared" si="2"/>
        <v>3.3672494338851702</v>
      </c>
    </row>
    <row r="148" spans="1:6" x14ac:dyDescent="0.3">
      <c r="A148" s="2">
        <v>0.1</v>
      </c>
      <c r="B148" s="1">
        <v>200</v>
      </c>
      <c r="C148" s="1">
        <v>10</v>
      </c>
      <c r="D148" s="2">
        <v>516.57950000000005</v>
      </c>
      <c r="E148" s="2">
        <v>3.4329999999999998</v>
      </c>
      <c r="F148" s="38">
        <f t="shared" si="2"/>
        <v>3.123151093046892</v>
      </c>
    </row>
    <row r="149" spans="1:6" x14ac:dyDescent="0.3">
      <c r="A149" s="2">
        <v>0.1</v>
      </c>
      <c r="B149" s="1">
        <v>200</v>
      </c>
      <c r="C149" s="1">
        <v>15</v>
      </c>
      <c r="D149" s="2">
        <v>495.22910000000002</v>
      </c>
      <c r="E149" s="2">
        <v>3.383</v>
      </c>
      <c r="F149" s="38">
        <f t="shared" si="2"/>
        <v>3.0141786194583755</v>
      </c>
    </row>
    <row r="150" spans="1:6" x14ac:dyDescent="0.3">
      <c r="A150" s="2">
        <v>0.1</v>
      </c>
      <c r="B150" s="1">
        <v>200</v>
      </c>
      <c r="C150" s="1">
        <v>20</v>
      </c>
      <c r="D150" s="2">
        <v>508.51150000000001</v>
      </c>
      <c r="E150" s="2">
        <v>3.3729999999999998</v>
      </c>
      <c r="F150" s="38">
        <f t="shared" si="2"/>
        <v>2.9923841247406719</v>
      </c>
    </row>
    <row r="151" spans="1:6" x14ac:dyDescent="0.3">
      <c r="A151" s="2">
        <v>0.1</v>
      </c>
      <c r="B151" s="1">
        <v>200</v>
      </c>
      <c r="C151" s="1">
        <v>25</v>
      </c>
      <c r="D151" s="2">
        <v>483.71460000000002</v>
      </c>
      <c r="E151" s="2">
        <v>3.3449999999999998</v>
      </c>
      <c r="F151" s="38">
        <f t="shared" si="2"/>
        <v>2.9313595395311025</v>
      </c>
    </row>
    <row r="152" spans="1:6" x14ac:dyDescent="0.3">
      <c r="A152" s="2">
        <v>0.2</v>
      </c>
      <c r="B152" s="1">
        <v>100</v>
      </c>
      <c r="C152" s="1">
        <v>5</v>
      </c>
      <c r="D152" s="2">
        <v>246.6062</v>
      </c>
      <c r="E152" s="2">
        <v>4.1247499999999997</v>
      </c>
      <c r="F152" s="38">
        <f t="shared" si="2"/>
        <v>3.1871249999999991</v>
      </c>
    </row>
    <row r="153" spans="1:6" x14ac:dyDescent="0.3">
      <c r="A153" s="2">
        <v>0.2</v>
      </c>
      <c r="B153" s="1">
        <v>100</v>
      </c>
      <c r="C153" s="1">
        <v>10</v>
      </c>
      <c r="D153" s="2">
        <v>266.2079</v>
      </c>
      <c r="E153" s="2">
        <v>3.97</v>
      </c>
      <c r="F153" s="38">
        <f t="shared" si="2"/>
        <v>2.9550000000000001</v>
      </c>
    </row>
    <row r="154" spans="1:6" x14ac:dyDescent="0.3">
      <c r="A154" s="2">
        <v>0.2</v>
      </c>
      <c r="B154" s="1">
        <v>100</v>
      </c>
      <c r="C154" s="1">
        <v>15</v>
      </c>
      <c r="D154" s="2">
        <v>262.6207</v>
      </c>
      <c r="E154" s="2">
        <v>3.92</v>
      </c>
      <c r="F154" s="38">
        <f t="shared" si="2"/>
        <v>2.8799999999999994</v>
      </c>
    </row>
    <row r="155" spans="1:6" x14ac:dyDescent="0.3">
      <c r="A155" s="2">
        <v>0.2</v>
      </c>
      <c r="B155" s="1">
        <v>100</v>
      </c>
      <c r="C155" s="1">
        <v>20</v>
      </c>
      <c r="D155" s="2">
        <v>240.0812</v>
      </c>
      <c r="E155" s="2">
        <v>3.835</v>
      </c>
      <c r="F155" s="38">
        <f t="shared" si="2"/>
        <v>2.7524999999999995</v>
      </c>
    </row>
    <row r="156" spans="1:6" x14ac:dyDescent="0.3">
      <c r="A156" s="2">
        <v>0.2</v>
      </c>
      <c r="B156" s="1">
        <v>100</v>
      </c>
      <c r="C156" s="1">
        <v>25</v>
      </c>
      <c r="D156" s="2">
        <v>256.47359999999998</v>
      </c>
      <c r="E156" s="2">
        <v>3.8075999999999999</v>
      </c>
      <c r="F156" s="38">
        <f t="shared" si="2"/>
        <v>2.7113999999999994</v>
      </c>
    </row>
    <row r="157" spans="1:6" x14ac:dyDescent="0.3">
      <c r="A157" s="2">
        <v>0.2</v>
      </c>
      <c r="B157" s="1">
        <v>125</v>
      </c>
      <c r="C157" s="1">
        <v>5</v>
      </c>
      <c r="D157" s="2">
        <v>262.87729999999999</v>
      </c>
      <c r="E157" s="2">
        <v>4.2380000000000004</v>
      </c>
      <c r="F157" s="38">
        <f t="shared" si="2"/>
        <v>3.3570000000000002</v>
      </c>
    </row>
    <row r="158" spans="1:6" x14ac:dyDescent="0.3">
      <c r="A158" s="2">
        <v>0.2</v>
      </c>
      <c r="B158" s="1">
        <v>125</v>
      </c>
      <c r="C158" s="1">
        <v>10</v>
      </c>
      <c r="D158" s="2">
        <v>241.21860000000001</v>
      </c>
      <c r="E158" s="2">
        <v>3.9950000000000001</v>
      </c>
      <c r="F158" s="38">
        <f t="shared" si="2"/>
        <v>2.9924999999999997</v>
      </c>
    </row>
    <row r="159" spans="1:6" x14ac:dyDescent="0.3">
      <c r="A159" s="2">
        <v>0.2</v>
      </c>
      <c r="B159" s="1">
        <v>125</v>
      </c>
      <c r="C159" s="1">
        <v>15</v>
      </c>
      <c r="D159" s="2">
        <v>264.73489999999998</v>
      </c>
      <c r="E159" s="2">
        <v>4</v>
      </c>
      <c r="F159" s="38">
        <f t="shared" si="2"/>
        <v>2.9999999999999996</v>
      </c>
    </row>
    <row r="160" spans="1:6" x14ac:dyDescent="0.3">
      <c r="A160" s="2">
        <v>0.2</v>
      </c>
      <c r="B160" s="1">
        <v>125</v>
      </c>
      <c r="C160" s="1">
        <v>20</v>
      </c>
      <c r="D160" s="2">
        <v>236.3879</v>
      </c>
      <c r="E160" s="2">
        <v>3.9119999999999999</v>
      </c>
      <c r="F160" s="38">
        <f t="shared" si="2"/>
        <v>2.8679999999999994</v>
      </c>
    </row>
    <row r="161" spans="1:6" x14ac:dyDescent="0.3">
      <c r="A161" s="2">
        <v>0.2</v>
      </c>
      <c r="B161" s="1">
        <v>125</v>
      </c>
      <c r="C161" s="1">
        <v>25</v>
      </c>
      <c r="D161" s="2">
        <v>238.08539999999999</v>
      </c>
      <c r="E161" s="2">
        <v>3.875</v>
      </c>
      <c r="F161" s="38">
        <f t="shared" si="2"/>
        <v>2.8124999999999996</v>
      </c>
    </row>
    <row r="162" spans="1:6" x14ac:dyDescent="0.3">
      <c r="A162" s="2">
        <v>0.2</v>
      </c>
      <c r="B162" s="1">
        <v>150</v>
      </c>
      <c r="C162" s="1">
        <v>5</v>
      </c>
      <c r="D162" s="2">
        <v>238.21199999999999</v>
      </c>
      <c r="E162" s="2">
        <v>4.2450000000000001</v>
      </c>
      <c r="F162" s="38">
        <f t="shared" si="2"/>
        <v>3.3674999999999997</v>
      </c>
    </row>
    <row r="163" spans="1:6" x14ac:dyDescent="0.3">
      <c r="A163" s="2">
        <v>0.2</v>
      </c>
      <c r="B163" s="1">
        <v>150</v>
      </c>
      <c r="C163" s="1">
        <v>10</v>
      </c>
      <c r="D163" s="2">
        <v>256.2312</v>
      </c>
      <c r="E163" s="2">
        <v>4.09</v>
      </c>
      <c r="F163" s="38">
        <f t="shared" si="2"/>
        <v>3.1349999999999993</v>
      </c>
    </row>
    <row r="164" spans="1:6" x14ac:dyDescent="0.3">
      <c r="A164" s="2">
        <v>0.2</v>
      </c>
      <c r="B164" s="1">
        <v>150</v>
      </c>
      <c r="C164" s="1">
        <v>15</v>
      </c>
      <c r="D164" s="2">
        <v>237.27199999999999</v>
      </c>
      <c r="E164" s="2">
        <v>4</v>
      </c>
      <c r="F164" s="38">
        <f t="shared" si="2"/>
        <v>2.9999999999999996</v>
      </c>
    </row>
    <row r="165" spans="1:6" x14ac:dyDescent="0.3">
      <c r="A165" s="2">
        <v>0.2</v>
      </c>
      <c r="B165" s="1">
        <v>150</v>
      </c>
      <c r="C165" s="1">
        <v>20</v>
      </c>
      <c r="D165" s="2">
        <v>249.4144</v>
      </c>
      <c r="E165" s="2">
        <v>3.9750000000000001</v>
      </c>
      <c r="F165" s="38">
        <f t="shared" si="2"/>
        <v>2.9624999999999999</v>
      </c>
    </row>
    <row r="166" spans="1:6" x14ac:dyDescent="0.3">
      <c r="A166" s="2">
        <v>0.2</v>
      </c>
      <c r="B166" s="1">
        <v>150</v>
      </c>
      <c r="C166" s="1">
        <v>25</v>
      </c>
      <c r="D166" s="2">
        <v>242.40289999999999</v>
      </c>
      <c r="E166" s="2">
        <v>3.95</v>
      </c>
      <c r="F166" s="38">
        <f t="shared" si="2"/>
        <v>2.9249999999999998</v>
      </c>
    </row>
    <row r="167" spans="1:6" x14ac:dyDescent="0.3">
      <c r="A167" s="2">
        <v>0.2</v>
      </c>
      <c r="B167" s="1">
        <v>175</v>
      </c>
      <c r="C167" s="1">
        <v>5</v>
      </c>
      <c r="D167" s="2">
        <v>261.50380000000001</v>
      </c>
      <c r="E167" s="2">
        <v>4.3520000000000003</v>
      </c>
      <c r="F167" s="38">
        <f t="shared" si="2"/>
        <v>3.528</v>
      </c>
    </row>
    <row r="168" spans="1:6" x14ac:dyDescent="0.3">
      <c r="A168" s="2">
        <v>0.2</v>
      </c>
      <c r="B168" s="1">
        <v>175</v>
      </c>
      <c r="C168" s="1">
        <v>10</v>
      </c>
      <c r="D168" s="2">
        <v>256.12860000000001</v>
      </c>
      <c r="E168" s="2">
        <v>4.1312700000000007</v>
      </c>
      <c r="F168" s="38">
        <f t="shared" si="2"/>
        <v>3.1969050000000006</v>
      </c>
    </row>
    <row r="169" spans="1:6" x14ac:dyDescent="0.3">
      <c r="A169" s="2">
        <v>0.2</v>
      </c>
      <c r="B169" s="1">
        <v>175</v>
      </c>
      <c r="C169" s="1">
        <v>15</v>
      </c>
      <c r="D169" s="2">
        <v>248.42660000000001</v>
      </c>
      <c r="E169" s="2">
        <v>4.05</v>
      </c>
      <c r="F169" s="38">
        <f t="shared" si="2"/>
        <v>3.0749999999999993</v>
      </c>
    </row>
    <row r="170" spans="1:6" x14ac:dyDescent="0.3">
      <c r="A170" s="2">
        <v>0.2</v>
      </c>
      <c r="B170" s="1">
        <v>175</v>
      </c>
      <c r="C170" s="1">
        <v>20</v>
      </c>
      <c r="D170" s="2">
        <v>232.7492</v>
      </c>
      <c r="E170" s="2">
        <v>4.0010000000000003</v>
      </c>
      <c r="F170" s="38">
        <f t="shared" si="2"/>
        <v>3.0015000000000001</v>
      </c>
    </row>
    <row r="171" spans="1:6" x14ac:dyDescent="0.3">
      <c r="A171" s="2">
        <v>0.2</v>
      </c>
      <c r="B171" s="1">
        <v>175</v>
      </c>
      <c r="C171" s="1">
        <v>25</v>
      </c>
      <c r="D171" s="2">
        <v>251.5009</v>
      </c>
      <c r="E171" s="2">
        <v>4</v>
      </c>
      <c r="F171" s="38">
        <f t="shared" si="2"/>
        <v>2.9999999999999996</v>
      </c>
    </row>
    <row r="172" spans="1:6" x14ac:dyDescent="0.3">
      <c r="A172" s="2">
        <v>0.2</v>
      </c>
      <c r="B172" s="1">
        <v>200</v>
      </c>
      <c r="C172" s="1">
        <v>5</v>
      </c>
      <c r="D172" s="2">
        <v>253.1259</v>
      </c>
      <c r="E172" s="2">
        <v>4.359</v>
      </c>
      <c r="F172" s="38">
        <f t="shared" si="2"/>
        <v>3.5384999999999995</v>
      </c>
    </row>
    <row r="173" spans="1:6" x14ac:dyDescent="0.3">
      <c r="A173" s="2">
        <v>0.2</v>
      </c>
      <c r="B173" s="1">
        <v>200</v>
      </c>
      <c r="C173" s="1">
        <v>10</v>
      </c>
      <c r="D173" s="2">
        <v>272.75009999999997</v>
      </c>
      <c r="E173" s="2">
        <v>4.2</v>
      </c>
      <c r="F173" s="38">
        <f t="shared" si="2"/>
        <v>3.3</v>
      </c>
    </row>
    <row r="174" spans="1:6" x14ac:dyDescent="0.3">
      <c r="A174" s="2">
        <v>0.2</v>
      </c>
      <c r="B174" s="1">
        <v>200</v>
      </c>
      <c r="C174" s="1">
        <v>15</v>
      </c>
      <c r="D174" s="2">
        <v>235.81610000000001</v>
      </c>
      <c r="E174" s="2">
        <v>4.0650000000000004</v>
      </c>
      <c r="F174" s="38">
        <f t="shared" si="2"/>
        <v>3.0975000000000001</v>
      </c>
    </row>
    <row r="175" spans="1:6" x14ac:dyDescent="0.3">
      <c r="A175" s="2">
        <v>0.2</v>
      </c>
      <c r="B175" s="1">
        <v>200</v>
      </c>
      <c r="C175" s="1">
        <v>20</v>
      </c>
      <c r="D175" s="2">
        <v>243.9067</v>
      </c>
      <c r="E175" s="2">
        <v>4.05</v>
      </c>
      <c r="F175" s="38">
        <f t="shared" si="2"/>
        <v>3.0749999999999993</v>
      </c>
    </row>
    <row r="176" spans="1:6" x14ac:dyDescent="0.3">
      <c r="A176" s="2">
        <v>0.2</v>
      </c>
      <c r="B176" s="1">
        <v>200</v>
      </c>
      <c r="C176" s="1">
        <v>25</v>
      </c>
      <c r="D176" s="2">
        <v>247.69399999999999</v>
      </c>
      <c r="E176" s="2">
        <v>4.03</v>
      </c>
      <c r="F176" s="38">
        <f t="shared" si="2"/>
        <v>3.0449999999999999</v>
      </c>
    </row>
    <row r="177" spans="1:6" x14ac:dyDescent="0.3">
      <c r="A177" s="2">
        <v>0.2</v>
      </c>
      <c r="B177" s="1">
        <v>100</v>
      </c>
      <c r="C177" s="1">
        <v>5</v>
      </c>
      <c r="D177" s="2">
        <v>355.7278</v>
      </c>
      <c r="E177" s="2">
        <v>4.3099999999999996</v>
      </c>
      <c r="F177" s="38">
        <f t="shared" si="2"/>
        <v>3.464999999999999</v>
      </c>
    </row>
    <row r="178" spans="1:6" x14ac:dyDescent="0.3">
      <c r="A178" s="2">
        <v>0.2</v>
      </c>
      <c r="B178" s="1">
        <v>100</v>
      </c>
      <c r="C178" s="1">
        <v>10</v>
      </c>
      <c r="D178" s="2">
        <v>361.57920000000001</v>
      </c>
      <c r="E178" s="2">
        <v>4.0960000000000001</v>
      </c>
      <c r="F178" s="38">
        <f t="shared" si="2"/>
        <v>3.1439999999999997</v>
      </c>
    </row>
    <row r="179" spans="1:6" x14ac:dyDescent="0.3">
      <c r="A179" s="2">
        <v>0.2</v>
      </c>
      <c r="B179" s="1">
        <v>100</v>
      </c>
      <c r="C179" s="1">
        <v>15</v>
      </c>
      <c r="D179" s="2">
        <v>378.28059999999999</v>
      </c>
      <c r="E179" s="2">
        <v>4.05</v>
      </c>
      <c r="F179" s="38">
        <f t="shared" si="2"/>
        <v>3.0749999999999993</v>
      </c>
    </row>
    <row r="180" spans="1:6" x14ac:dyDescent="0.3">
      <c r="A180" s="2">
        <v>0.2</v>
      </c>
      <c r="B180" s="1">
        <v>100</v>
      </c>
      <c r="C180" s="1">
        <v>20</v>
      </c>
      <c r="D180" s="2">
        <v>371.24979999999999</v>
      </c>
      <c r="E180" s="2">
        <v>4</v>
      </c>
      <c r="F180" s="38">
        <f t="shared" si="2"/>
        <v>2.9999999999999996</v>
      </c>
    </row>
    <row r="181" spans="1:6" x14ac:dyDescent="0.3">
      <c r="A181" s="2">
        <v>0.2</v>
      </c>
      <c r="B181" s="1">
        <v>100</v>
      </c>
      <c r="C181" s="1">
        <v>25</v>
      </c>
      <c r="D181" s="2">
        <v>372.44760000000002</v>
      </c>
      <c r="E181" s="2">
        <v>3.95</v>
      </c>
      <c r="F181" s="38">
        <f t="shared" si="2"/>
        <v>2.9249999999999998</v>
      </c>
    </row>
    <row r="182" spans="1:6" x14ac:dyDescent="0.3">
      <c r="A182" s="2">
        <v>0.2</v>
      </c>
      <c r="B182" s="1">
        <v>125</v>
      </c>
      <c r="C182" s="1">
        <v>5</v>
      </c>
      <c r="D182" s="2">
        <v>380.3356</v>
      </c>
      <c r="E182" s="2">
        <v>4.4349999999999996</v>
      </c>
      <c r="F182" s="38">
        <f t="shared" si="2"/>
        <v>3.652499999999999</v>
      </c>
    </row>
    <row r="183" spans="1:6" x14ac:dyDescent="0.3">
      <c r="A183" s="2">
        <v>0.2</v>
      </c>
      <c r="B183" s="1">
        <v>125</v>
      </c>
      <c r="C183" s="1">
        <v>10</v>
      </c>
      <c r="D183" s="2">
        <v>381.07</v>
      </c>
      <c r="E183" s="2">
        <v>4.2</v>
      </c>
      <c r="F183" s="38">
        <f t="shared" si="2"/>
        <v>3.3</v>
      </c>
    </row>
    <row r="184" spans="1:6" x14ac:dyDescent="0.3">
      <c r="A184" s="2">
        <v>0.2</v>
      </c>
      <c r="B184" s="1">
        <v>125</v>
      </c>
      <c r="C184" s="1">
        <v>15</v>
      </c>
      <c r="D184" s="2">
        <v>366.38959999999997</v>
      </c>
      <c r="E184" s="2">
        <v>4.1099999999999994</v>
      </c>
      <c r="F184" s="38">
        <f t="shared" si="2"/>
        <v>3.1649999999999987</v>
      </c>
    </row>
    <row r="185" spans="1:6" x14ac:dyDescent="0.3">
      <c r="A185" s="2">
        <v>0.2</v>
      </c>
      <c r="B185" s="1">
        <v>125</v>
      </c>
      <c r="C185" s="1">
        <v>20</v>
      </c>
      <c r="D185" s="2">
        <v>375.3852</v>
      </c>
      <c r="E185" s="2">
        <v>4.08</v>
      </c>
      <c r="F185" s="38">
        <f t="shared" si="2"/>
        <v>3.1199999999999997</v>
      </c>
    </row>
    <row r="186" spans="1:6" x14ac:dyDescent="0.3">
      <c r="A186" s="2">
        <v>0.2</v>
      </c>
      <c r="B186" s="1">
        <v>125</v>
      </c>
      <c r="C186" s="1">
        <v>25</v>
      </c>
      <c r="D186" s="2">
        <v>354.80919999999998</v>
      </c>
      <c r="E186" s="2">
        <v>4.0250000000000004</v>
      </c>
      <c r="F186" s="38">
        <f t="shared" si="2"/>
        <v>3.0375000000000001</v>
      </c>
    </row>
    <row r="187" spans="1:6" x14ac:dyDescent="0.3">
      <c r="A187" s="2">
        <v>0.2</v>
      </c>
      <c r="B187" s="1">
        <v>150</v>
      </c>
      <c r="C187" s="1">
        <v>5</v>
      </c>
      <c r="D187" s="2">
        <v>364.32080000000002</v>
      </c>
      <c r="E187" s="2">
        <v>4.47295</v>
      </c>
      <c r="F187" s="38">
        <f t="shared" si="2"/>
        <v>3.7094249999999995</v>
      </c>
    </row>
    <row r="188" spans="1:6" x14ac:dyDescent="0.3">
      <c r="A188" s="2">
        <v>0.2</v>
      </c>
      <c r="B188" s="1">
        <v>150</v>
      </c>
      <c r="C188" s="1">
        <v>10</v>
      </c>
      <c r="D188" s="2">
        <v>379.45089999999999</v>
      </c>
      <c r="E188" s="2">
        <v>4.2729999999999997</v>
      </c>
      <c r="F188" s="38">
        <f t="shared" si="2"/>
        <v>3.4094999999999991</v>
      </c>
    </row>
    <row r="189" spans="1:6" x14ac:dyDescent="0.3">
      <c r="A189" s="2">
        <v>0.2</v>
      </c>
      <c r="B189" s="1">
        <v>150</v>
      </c>
      <c r="C189" s="1">
        <v>15</v>
      </c>
      <c r="D189" s="2">
        <v>358.89449999999999</v>
      </c>
      <c r="E189" s="2">
        <v>4.18</v>
      </c>
      <c r="F189" s="38">
        <f t="shared" si="2"/>
        <v>3.2699999999999991</v>
      </c>
    </row>
    <row r="190" spans="1:6" x14ac:dyDescent="0.3">
      <c r="A190" s="2">
        <v>0.2</v>
      </c>
      <c r="B190" s="1">
        <v>150</v>
      </c>
      <c r="C190" s="1">
        <v>20</v>
      </c>
      <c r="D190" s="2">
        <v>370.75830000000002</v>
      </c>
      <c r="E190" s="2">
        <v>4.1500000000000004</v>
      </c>
      <c r="F190" s="38">
        <f t="shared" si="2"/>
        <v>3.2250000000000001</v>
      </c>
    </row>
    <row r="191" spans="1:6" x14ac:dyDescent="0.3">
      <c r="A191" s="2">
        <v>0.2</v>
      </c>
      <c r="B191" s="1">
        <v>150</v>
      </c>
      <c r="C191" s="1">
        <v>25</v>
      </c>
      <c r="D191" s="2">
        <v>368.41890000000001</v>
      </c>
      <c r="E191" s="2">
        <v>4.0999999999999996</v>
      </c>
      <c r="F191" s="38">
        <f t="shared" si="2"/>
        <v>3.149999999999999</v>
      </c>
    </row>
    <row r="192" spans="1:6" x14ac:dyDescent="0.3">
      <c r="A192" s="2">
        <v>0.2</v>
      </c>
      <c r="B192" s="1">
        <v>175</v>
      </c>
      <c r="C192" s="1">
        <v>5</v>
      </c>
      <c r="D192" s="2">
        <v>370.69529999999997</v>
      </c>
      <c r="E192" s="2">
        <v>4.5487499999999992</v>
      </c>
      <c r="F192" s="38">
        <f t="shared" si="2"/>
        <v>3.8231249999999983</v>
      </c>
    </row>
    <row r="193" spans="1:6" x14ac:dyDescent="0.3">
      <c r="A193" s="2">
        <v>0.2</v>
      </c>
      <c r="B193" s="1">
        <v>175</v>
      </c>
      <c r="C193" s="1">
        <v>10</v>
      </c>
      <c r="D193" s="2">
        <v>360.73149999999998</v>
      </c>
      <c r="E193" s="2">
        <v>4.3</v>
      </c>
      <c r="F193" s="38">
        <f t="shared" si="2"/>
        <v>3.4499999999999993</v>
      </c>
    </row>
    <row r="194" spans="1:6" x14ac:dyDescent="0.3">
      <c r="A194" s="2">
        <v>0.2</v>
      </c>
      <c r="B194" s="1">
        <v>175</v>
      </c>
      <c r="C194" s="1">
        <v>15</v>
      </c>
      <c r="D194" s="2">
        <v>364.9024</v>
      </c>
      <c r="E194" s="2">
        <v>4.22</v>
      </c>
      <c r="F194" s="38">
        <f t="shared" si="2"/>
        <v>3.3299999999999992</v>
      </c>
    </row>
    <row r="195" spans="1:6" x14ac:dyDescent="0.3">
      <c r="A195" s="2">
        <v>0.2</v>
      </c>
      <c r="B195" s="1">
        <v>175</v>
      </c>
      <c r="C195" s="1">
        <v>20</v>
      </c>
      <c r="D195" s="2">
        <v>381.20760000000001</v>
      </c>
      <c r="E195" s="2">
        <v>4.2</v>
      </c>
      <c r="F195" s="38">
        <f t="shared" ref="F195:F226" si="3">(E195-2)/(2*SQRT(A195/(2-A195)))</f>
        <v>3.3</v>
      </c>
    </row>
    <row r="196" spans="1:6" x14ac:dyDescent="0.3">
      <c r="A196" s="2">
        <v>0.2</v>
      </c>
      <c r="B196" s="1">
        <v>175</v>
      </c>
      <c r="C196" s="1">
        <v>25</v>
      </c>
      <c r="D196" s="2">
        <v>358.52600000000001</v>
      </c>
      <c r="E196" s="2">
        <v>4.1500000000000004</v>
      </c>
      <c r="F196" s="38">
        <f t="shared" si="3"/>
        <v>3.2250000000000001</v>
      </c>
    </row>
    <row r="197" spans="1:6" x14ac:dyDescent="0.3">
      <c r="A197" s="2">
        <v>0.2</v>
      </c>
      <c r="B197" s="1">
        <v>200</v>
      </c>
      <c r="C197" s="1">
        <v>5</v>
      </c>
      <c r="D197" s="2">
        <v>367.03489999999999</v>
      </c>
      <c r="E197" s="2">
        <v>4.5866999999999996</v>
      </c>
      <c r="F197" s="38">
        <f t="shared" si="3"/>
        <v>3.8800499999999989</v>
      </c>
    </row>
    <row r="198" spans="1:6" x14ac:dyDescent="0.3">
      <c r="A198" s="2">
        <v>0.2</v>
      </c>
      <c r="B198" s="1">
        <v>200</v>
      </c>
      <c r="C198" s="1">
        <v>10</v>
      </c>
      <c r="D198" s="2">
        <v>384.95659999999998</v>
      </c>
      <c r="E198" s="2">
        <v>4.3729999999999993</v>
      </c>
      <c r="F198" s="38">
        <f t="shared" si="3"/>
        <v>3.5594999999999986</v>
      </c>
    </row>
    <row r="199" spans="1:6" x14ac:dyDescent="0.3">
      <c r="A199" s="2">
        <v>0.2</v>
      </c>
      <c r="B199" s="1">
        <v>200</v>
      </c>
      <c r="C199" s="1">
        <v>15</v>
      </c>
      <c r="D199" s="2">
        <v>371.798</v>
      </c>
      <c r="E199" s="2">
        <v>4.29</v>
      </c>
      <c r="F199" s="38">
        <f t="shared" si="3"/>
        <v>3.4349999999999996</v>
      </c>
    </row>
    <row r="200" spans="1:6" x14ac:dyDescent="0.3">
      <c r="A200" s="2">
        <v>0.2</v>
      </c>
      <c r="B200" s="1">
        <v>200</v>
      </c>
      <c r="C200" s="1">
        <v>20</v>
      </c>
      <c r="D200" s="2">
        <v>367.56760000000003</v>
      </c>
      <c r="E200" s="2">
        <v>4.2169999999999996</v>
      </c>
      <c r="F200" s="38">
        <f t="shared" si="3"/>
        <v>3.325499999999999</v>
      </c>
    </row>
    <row r="201" spans="1:6" x14ac:dyDescent="0.3">
      <c r="A201" s="2">
        <v>0.2</v>
      </c>
      <c r="B201" s="1">
        <v>200</v>
      </c>
      <c r="C201" s="1">
        <v>25</v>
      </c>
      <c r="D201" s="2">
        <v>366.94279999999998</v>
      </c>
      <c r="E201" s="2">
        <v>4.18</v>
      </c>
      <c r="F201" s="38">
        <f t="shared" si="3"/>
        <v>3.2699999999999991</v>
      </c>
    </row>
    <row r="202" spans="1:6" x14ac:dyDescent="0.3">
      <c r="A202" s="2">
        <v>0.2</v>
      </c>
      <c r="B202" s="1">
        <v>100</v>
      </c>
      <c r="C202" s="1">
        <v>5</v>
      </c>
      <c r="D202" s="2">
        <v>512.80399999999997</v>
      </c>
      <c r="E202" s="2">
        <v>4.5090000000000003</v>
      </c>
      <c r="F202" s="38">
        <f t="shared" si="3"/>
        <v>3.7635000000000001</v>
      </c>
    </row>
    <row r="203" spans="1:6" x14ac:dyDescent="0.3">
      <c r="A203" s="2">
        <v>0.2</v>
      </c>
      <c r="B203" s="1">
        <v>100</v>
      </c>
      <c r="C203" s="1">
        <v>10</v>
      </c>
      <c r="D203" s="2">
        <v>496.06310000000002</v>
      </c>
      <c r="E203" s="2">
        <v>4.2376499999999995</v>
      </c>
      <c r="F203" s="38">
        <f t="shared" si="3"/>
        <v>3.3564749999999988</v>
      </c>
    </row>
    <row r="204" spans="1:6" x14ac:dyDescent="0.3">
      <c r="A204" s="2">
        <v>0.2</v>
      </c>
      <c r="B204" s="1">
        <v>100</v>
      </c>
      <c r="C204" s="1">
        <v>15</v>
      </c>
      <c r="D204" s="2">
        <v>518.28719999999998</v>
      </c>
      <c r="E204" s="2">
        <v>4.1707999999999998</v>
      </c>
      <c r="F204" s="38">
        <f t="shared" si="3"/>
        <v>3.2561999999999993</v>
      </c>
    </row>
    <row r="205" spans="1:6" x14ac:dyDescent="0.3">
      <c r="A205" s="2">
        <v>0.2</v>
      </c>
      <c r="B205" s="1">
        <v>100</v>
      </c>
      <c r="C205" s="1">
        <v>20</v>
      </c>
      <c r="D205" s="2">
        <v>516.6943</v>
      </c>
      <c r="E205" s="2">
        <v>4.12</v>
      </c>
      <c r="F205" s="38">
        <f t="shared" si="3"/>
        <v>3.1799999999999997</v>
      </c>
    </row>
    <row r="206" spans="1:6" x14ac:dyDescent="0.3">
      <c r="A206" s="2">
        <v>0.2</v>
      </c>
      <c r="B206" s="1">
        <v>100</v>
      </c>
      <c r="C206" s="1">
        <v>25</v>
      </c>
      <c r="D206" s="2">
        <v>492.04680000000002</v>
      </c>
      <c r="E206" s="2">
        <v>4.05</v>
      </c>
      <c r="F206" s="38">
        <f t="shared" si="3"/>
        <v>3.0749999999999993</v>
      </c>
    </row>
    <row r="207" spans="1:6" x14ac:dyDescent="0.3">
      <c r="A207" s="2">
        <v>0.2</v>
      </c>
      <c r="B207" s="1">
        <v>125</v>
      </c>
      <c r="C207" s="1">
        <v>5</v>
      </c>
      <c r="D207" s="2">
        <v>504.03570000000002</v>
      </c>
      <c r="E207" s="2">
        <v>4.5999999999999996</v>
      </c>
      <c r="F207" s="38">
        <f t="shared" si="3"/>
        <v>3.899999999999999</v>
      </c>
    </row>
    <row r="208" spans="1:6" x14ac:dyDescent="0.3">
      <c r="A208" s="2">
        <v>0.2</v>
      </c>
      <c r="B208" s="1">
        <v>125</v>
      </c>
      <c r="C208" s="1">
        <v>10</v>
      </c>
      <c r="D208" s="2">
        <v>480.92110000000002</v>
      </c>
      <c r="E208" s="2">
        <v>4.32</v>
      </c>
      <c r="F208" s="38">
        <f t="shared" si="3"/>
        <v>3.48</v>
      </c>
    </row>
    <row r="209" spans="1:6" x14ac:dyDescent="0.3">
      <c r="A209" s="2">
        <v>0.2</v>
      </c>
      <c r="B209" s="1">
        <v>125</v>
      </c>
      <c r="C209" s="1">
        <v>15</v>
      </c>
      <c r="D209" s="2">
        <v>507.64089999999999</v>
      </c>
      <c r="E209" s="2">
        <v>4.2569999999999997</v>
      </c>
      <c r="F209" s="38">
        <f t="shared" si="3"/>
        <v>3.3854999999999991</v>
      </c>
    </row>
    <row r="210" spans="1:6" x14ac:dyDescent="0.3">
      <c r="A210" s="2">
        <v>0.2</v>
      </c>
      <c r="B210" s="1">
        <v>125</v>
      </c>
      <c r="C210" s="1">
        <v>20</v>
      </c>
      <c r="D210" s="2">
        <v>528.6816</v>
      </c>
      <c r="E210" s="2">
        <v>4.22</v>
      </c>
      <c r="F210" s="38">
        <f t="shared" si="3"/>
        <v>3.3299999999999992</v>
      </c>
    </row>
    <row r="211" spans="1:6" x14ac:dyDescent="0.3">
      <c r="A211" s="2">
        <v>0.2</v>
      </c>
      <c r="B211" s="1">
        <v>125</v>
      </c>
      <c r="C211" s="1">
        <v>25</v>
      </c>
      <c r="D211" s="2">
        <v>488.85480000000001</v>
      </c>
      <c r="E211" s="2">
        <v>4.1500000000000004</v>
      </c>
      <c r="F211" s="38">
        <f t="shared" si="3"/>
        <v>3.2250000000000001</v>
      </c>
    </row>
    <row r="212" spans="1:6" x14ac:dyDescent="0.3">
      <c r="A212" s="2">
        <v>0.2</v>
      </c>
      <c r="B212" s="1">
        <v>150</v>
      </c>
      <c r="C212" s="1">
        <v>5</v>
      </c>
      <c r="D212" s="2">
        <v>510.00229999999999</v>
      </c>
      <c r="E212" s="2">
        <v>4.6920000000000002</v>
      </c>
      <c r="F212" s="38">
        <f t="shared" si="3"/>
        <v>4.0379999999999994</v>
      </c>
    </row>
    <row r="213" spans="1:6" x14ac:dyDescent="0.3">
      <c r="A213" s="2">
        <v>0.2</v>
      </c>
      <c r="B213" s="1">
        <v>150</v>
      </c>
      <c r="C213" s="1">
        <v>10</v>
      </c>
      <c r="D213" s="2">
        <v>497.59910000000002</v>
      </c>
      <c r="E213" s="2">
        <v>4.4000000000000004</v>
      </c>
      <c r="F213" s="38">
        <f t="shared" si="3"/>
        <v>3.6</v>
      </c>
    </row>
    <row r="214" spans="1:6" x14ac:dyDescent="0.3">
      <c r="A214" s="2">
        <v>0.2</v>
      </c>
      <c r="B214" s="1">
        <v>150</v>
      </c>
      <c r="C214" s="1">
        <v>15</v>
      </c>
      <c r="D214" s="2">
        <v>514.07550000000003</v>
      </c>
      <c r="E214" s="2">
        <v>4.32</v>
      </c>
      <c r="F214" s="38">
        <f t="shared" si="3"/>
        <v>3.48</v>
      </c>
    </row>
    <row r="215" spans="1:6" x14ac:dyDescent="0.3">
      <c r="A215" s="2">
        <v>0.2</v>
      </c>
      <c r="B215" s="1">
        <v>150</v>
      </c>
      <c r="C215" s="1">
        <v>20</v>
      </c>
      <c r="D215" s="2">
        <v>481.07709999999997</v>
      </c>
      <c r="E215" s="2">
        <v>4.25</v>
      </c>
      <c r="F215" s="38">
        <f t="shared" si="3"/>
        <v>3.3749999999999996</v>
      </c>
    </row>
    <row r="216" spans="1:6" x14ac:dyDescent="0.3">
      <c r="A216" s="2">
        <v>0.2</v>
      </c>
      <c r="B216" s="1">
        <v>150</v>
      </c>
      <c r="C216" s="1">
        <v>25</v>
      </c>
      <c r="D216" s="2">
        <v>489.68720000000002</v>
      </c>
      <c r="E216" s="2">
        <v>4.22</v>
      </c>
      <c r="F216" s="38">
        <f t="shared" si="3"/>
        <v>3.3299999999999992</v>
      </c>
    </row>
    <row r="217" spans="1:6" x14ac:dyDescent="0.3">
      <c r="A217" s="2">
        <v>0.2</v>
      </c>
      <c r="B217" s="1">
        <v>175</v>
      </c>
      <c r="C217" s="1">
        <v>5</v>
      </c>
      <c r="D217" s="2">
        <v>509.90440000000001</v>
      </c>
      <c r="E217" s="2">
        <v>4.74</v>
      </c>
      <c r="F217" s="38">
        <f t="shared" si="3"/>
        <v>4.1099999999999994</v>
      </c>
    </row>
    <row r="218" spans="1:6" x14ac:dyDescent="0.3">
      <c r="A218" s="2">
        <v>0.2</v>
      </c>
      <c r="B218" s="1">
        <v>175</v>
      </c>
      <c r="C218" s="1">
        <v>10</v>
      </c>
      <c r="D218" s="2">
        <v>509.71730000000002</v>
      </c>
      <c r="E218" s="2">
        <v>4.4823500000000012</v>
      </c>
      <c r="F218" s="38">
        <f t="shared" si="3"/>
        <v>3.7235250000000013</v>
      </c>
    </row>
    <row r="219" spans="1:6" x14ac:dyDescent="0.3">
      <c r="A219" s="2">
        <v>0.2</v>
      </c>
      <c r="B219" s="1">
        <v>175</v>
      </c>
      <c r="C219" s="1">
        <v>15</v>
      </c>
      <c r="D219" s="2">
        <v>477.68419999999998</v>
      </c>
      <c r="E219" s="2">
        <v>4.34</v>
      </c>
      <c r="F219" s="38">
        <f t="shared" si="3"/>
        <v>3.5099999999999993</v>
      </c>
    </row>
    <row r="220" spans="1:6" x14ac:dyDescent="0.3">
      <c r="A220" s="2">
        <v>0.2</v>
      </c>
      <c r="B220" s="1">
        <v>175</v>
      </c>
      <c r="C220" s="1">
        <v>20</v>
      </c>
      <c r="D220" s="2">
        <v>508.66899999999998</v>
      </c>
      <c r="E220" s="2">
        <v>4.32</v>
      </c>
      <c r="F220" s="38">
        <f t="shared" si="3"/>
        <v>3.48</v>
      </c>
    </row>
    <row r="221" spans="1:6" x14ac:dyDescent="0.3">
      <c r="A221" s="2">
        <v>0.2</v>
      </c>
      <c r="B221" s="1">
        <v>175</v>
      </c>
      <c r="C221" s="1">
        <v>25</v>
      </c>
      <c r="D221" s="2">
        <v>491.68</v>
      </c>
      <c r="E221" s="2">
        <v>4.28</v>
      </c>
      <c r="F221" s="38">
        <f t="shared" si="3"/>
        <v>3.42</v>
      </c>
    </row>
    <row r="222" spans="1:6" x14ac:dyDescent="0.3">
      <c r="A222" s="2">
        <v>0.2</v>
      </c>
      <c r="B222" s="1">
        <v>200</v>
      </c>
      <c r="C222" s="1">
        <v>5</v>
      </c>
      <c r="D222" s="2">
        <v>505.7405</v>
      </c>
      <c r="E222" s="2">
        <v>4.8</v>
      </c>
      <c r="F222" s="38">
        <f t="shared" si="3"/>
        <v>4.1999999999999993</v>
      </c>
    </row>
    <row r="223" spans="1:6" x14ac:dyDescent="0.3">
      <c r="A223" s="2">
        <v>0.2</v>
      </c>
      <c r="B223" s="1">
        <v>200</v>
      </c>
      <c r="C223" s="1">
        <v>10</v>
      </c>
      <c r="D223" s="2">
        <v>519.60140000000001</v>
      </c>
      <c r="E223" s="2">
        <v>4.5519999999999996</v>
      </c>
      <c r="F223" s="38">
        <f t="shared" si="3"/>
        <v>3.827999999999999</v>
      </c>
    </row>
    <row r="224" spans="1:6" x14ac:dyDescent="0.3">
      <c r="A224" s="2">
        <v>0.2</v>
      </c>
      <c r="B224" s="1">
        <v>200</v>
      </c>
      <c r="C224" s="1">
        <v>15</v>
      </c>
      <c r="D224" s="2">
        <v>486.16660000000002</v>
      </c>
      <c r="E224" s="2">
        <v>4.4030000000000005</v>
      </c>
      <c r="F224" s="38">
        <f t="shared" si="3"/>
        <v>3.6045000000000003</v>
      </c>
    </row>
    <row r="225" spans="1:6" x14ac:dyDescent="0.3">
      <c r="A225" s="2">
        <v>0.2</v>
      </c>
      <c r="B225" s="1">
        <v>200</v>
      </c>
      <c r="C225" s="1">
        <v>20</v>
      </c>
      <c r="D225" s="2">
        <v>498.4864</v>
      </c>
      <c r="E225" s="2">
        <v>4.3500000000000005</v>
      </c>
      <c r="F225" s="38">
        <f t="shared" si="3"/>
        <v>3.5250000000000004</v>
      </c>
    </row>
    <row r="226" spans="1:6" x14ac:dyDescent="0.3">
      <c r="A226" s="2">
        <v>0.2</v>
      </c>
      <c r="B226" s="1">
        <v>200</v>
      </c>
      <c r="C226" s="1">
        <v>25</v>
      </c>
      <c r="D226" s="2">
        <v>483.46210000000002</v>
      </c>
      <c r="E226" s="2">
        <v>4.3150000000000004</v>
      </c>
      <c r="F226" s="38">
        <f t="shared" si="3"/>
        <v>3.4725000000000001</v>
      </c>
    </row>
  </sheetData>
  <autoFilter ref="A1:F226" xr:uid="{AD17D642-7E60-498D-99C5-71F6E50E9E7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 for VWM with ARL0</vt:lpstr>
      <vt:lpstr>H for VWAB with ARL0</vt:lpstr>
      <vt:lpstr>EVA</vt:lpstr>
      <vt:lpstr>EVM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</dc:creator>
  <cp:lastModifiedBy>Saurabh</cp:lastModifiedBy>
  <dcterms:created xsi:type="dcterms:W3CDTF">2024-10-15T11:29:57Z</dcterms:created>
  <dcterms:modified xsi:type="dcterms:W3CDTF">2025-01-18T16:37:43Z</dcterms:modified>
</cp:coreProperties>
</file>