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\Desktop\PHD\Current Work\CUSUM\CUSUM\"/>
    </mc:Choice>
  </mc:AlternateContent>
  <xr:revisionPtr revIDLastSave="0" documentId="13_ncr:1_{EA3FF5D1-7C0D-4E0E-9718-FA1DBB6CEEC8}" xr6:coauthVersionLast="47" xr6:coauthVersionMax="47" xr10:uidLastSave="{00000000-0000-0000-0000-000000000000}"/>
  <bookViews>
    <workbookView xWindow="-108" yWindow="-108" windowWidth="23256" windowHeight="12576" activeTab="3" xr2:uid="{8D6D4BD3-25A0-48A3-8B1D-B41699C3CF6F}"/>
  </bookViews>
  <sheets>
    <sheet name="CUSUM VWAB Modeling TRAIN Data" sheetId="5" r:id="rId1"/>
    <sheet name="CUSUM VWAB TEST DATA" sheetId="6" r:id="rId2"/>
    <sheet name="CUSUM VWM Modeling TRAIN Data" sheetId="7" r:id="rId3"/>
    <sheet name="CUSUM VWM TEST DATA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7" l="1"/>
  <c r="H3" i="7"/>
  <c r="I3" i="7"/>
  <c r="J3" i="7"/>
  <c r="K3" i="7"/>
  <c r="G4" i="7"/>
  <c r="H4" i="7"/>
  <c r="I4" i="7"/>
  <c r="J4" i="7"/>
  <c r="K4" i="7"/>
  <c r="G5" i="7"/>
  <c r="H5" i="7"/>
  <c r="I5" i="7"/>
  <c r="J5" i="7"/>
  <c r="K5" i="7"/>
  <c r="G6" i="7"/>
  <c r="H6" i="7"/>
  <c r="I6" i="7"/>
  <c r="J6" i="7"/>
  <c r="K6" i="7"/>
  <c r="G7" i="7"/>
  <c r="H7" i="7"/>
  <c r="I7" i="7"/>
  <c r="J7" i="7"/>
  <c r="K7" i="7"/>
  <c r="G8" i="7"/>
  <c r="H8" i="7"/>
  <c r="I8" i="7"/>
  <c r="J8" i="7"/>
  <c r="K8" i="7"/>
  <c r="G9" i="7"/>
  <c r="H9" i="7"/>
  <c r="I9" i="7"/>
  <c r="J9" i="7"/>
  <c r="K9" i="7"/>
  <c r="G10" i="7"/>
  <c r="H10" i="7"/>
  <c r="I10" i="7"/>
  <c r="J10" i="7"/>
  <c r="K10" i="7"/>
  <c r="G11" i="7"/>
  <c r="H11" i="7"/>
  <c r="I11" i="7"/>
  <c r="J11" i="7"/>
  <c r="K11" i="7"/>
  <c r="G12" i="7"/>
  <c r="H12" i="7"/>
  <c r="I12" i="7"/>
  <c r="J12" i="7"/>
  <c r="K12" i="7"/>
  <c r="G13" i="7"/>
  <c r="H13" i="7"/>
  <c r="I13" i="7"/>
  <c r="J13" i="7"/>
  <c r="K13" i="7"/>
  <c r="G14" i="7"/>
  <c r="H14" i="7"/>
  <c r="I14" i="7"/>
  <c r="J14" i="7"/>
  <c r="K14" i="7"/>
  <c r="G15" i="7"/>
  <c r="H15" i="7"/>
  <c r="I15" i="7"/>
  <c r="J15" i="7"/>
  <c r="K15" i="7"/>
  <c r="G16" i="7"/>
  <c r="H16" i="7"/>
  <c r="I16" i="7"/>
  <c r="J16" i="7"/>
  <c r="K16" i="7"/>
  <c r="G17" i="7"/>
  <c r="H17" i="7"/>
  <c r="I17" i="7"/>
  <c r="J17" i="7"/>
  <c r="K17" i="7"/>
  <c r="G18" i="7"/>
  <c r="H18" i="7"/>
  <c r="I18" i="7"/>
  <c r="J18" i="7"/>
  <c r="K18" i="7"/>
  <c r="G19" i="7"/>
  <c r="H19" i="7"/>
  <c r="I19" i="7"/>
  <c r="J19" i="7"/>
  <c r="K19" i="7"/>
  <c r="G20" i="7"/>
  <c r="H20" i="7"/>
  <c r="I20" i="7"/>
  <c r="J20" i="7"/>
  <c r="K20" i="7"/>
  <c r="G21" i="7"/>
  <c r="H21" i="7"/>
  <c r="I21" i="7"/>
  <c r="J21" i="7"/>
  <c r="K21" i="7"/>
  <c r="G22" i="7"/>
  <c r="H22" i="7"/>
  <c r="I22" i="7"/>
  <c r="J22" i="7"/>
  <c r="K22" i="7"/>
  <c r="G23" i="7"/>
  <c r="H23" i="7"/>
  <c r="I23" i="7"/>
  <c r="J23" i="7"/>
  <c r="K23" i="7"/>
  <c r="G24" i="7"/>
  <c r="H24" i="7"/>
  <c r="I24" i="7"/>
  <c r="J24" i="7"/>
  <c r="K24" i="7"/>
  <c r="G25" i="7"/>
  <c r="H25" i="7"/>
  <c r="I25" i="7"/>
  <c r="J25" i="7"/>
  <c r="K25" i="7"/>
  <c r="G26" i="7"/>
  <c r="H26" i="7"/>
  <c r="I26" i="7"/>
  <c r="J26" i="7"/>
  <c r="K26" i="7"/>
  <c r="G27" i="7"/>
  <c r="H27" i="7"/>
  <c r="I27" i="7"/>
  <c r="J27" i="7"/>
  <c r="K27" i="7"/>
  <c r="G28" i="7"/>
  <c r="H28" i="7"/>
  <c r="I28" i="7"/>
  <c r="J28" i="7"/>
  <c r="K28" i="7"/>
  <c r="G29" i="7"/>
  <c r="H29" i="7"/>
  <c r="I29" i="7"/>
  <c r="J29" i="7"/>
  <c r="K29" i="7"/>
  <c r="G30" i="7"/>
  <c r="H30" i="7"/>
  <c r="I30" i="7"/>
  <c r="J30" i="7"/>
  <c r="K30" i="7"/>
  <c r="G31" i="7"/>
  <c r="H31" i="7"/>
  <c r="I31" i="7"/>
  <c r="J31" i="7"/>
  <c r="K31" i="7"/>
  <c r="G32" i="7"/>
  <c r="H32" i="7"/>
  <c r="I32" i="7"/>
  <c r="J32" i="7"/>
  <c r="K32" i="7"/>
  <c r="G33" i="7"/>
  <c r="H33" i="7"/>
  <c r="I33" i="7"/>
  <c r="J33" i="7"/>
  <c r="K33" i="7"/>
  <c r="G34" i="7"/>
  <c r="H34" i="7"/>
  <c r="I34" i="7"/>
  <c r="J34" i="7"/>
  <c r="K34" i="7"/>
  <c r="G35" i="7"/>
  <c r="H35" i="7"/>
  <c r="I35" i="7"/>
  <c r="J35" i="7"/>
  <c r="K35" i="7"/>
  <c r="G36" i="7"/>
  <c r="H36" i="7"/>
  <c r="I36" i="7"/>
  <c r="J36" i="7"/>
  <c r="K36" i="7"/>
  <c r="G37" i="7"/>
  <c r="H37" i="7"/>
  <c r="I37" i="7"/>
  <c r="J37" i="7"/>
  <c r="K37" i="7"/>
  <c r="G38" i="7"/>
  <c r="H38" i="7"/>
  <c r="I38" i="7"/>
  <c r="J38" i="7"/>
  <c r="K38" i="7"/>
  <c r="G39" i="7"/>
  <c r="H39" i="7"/>
  <c r="I39" i="7"/>
  <c r="J39" i="7"/>
  <c r="K39" i="7"/>
  <c r="G40" i="7"/>
  <c r="H40" i="7"/>
  <c r="I40" i="7"/>
  <c r="J40" i="7"/>
  <c r="K40" i="7"/>
  <c r="G41" i="7"/>
  <c r="H41" i="7"/>
  <c r="I41" i="7"/>
  <c r="J41" i="7"/>
  <c r="K41" i="7"/>
  <c r="G42" i="7"/>
  <c r="H42" i="7"/>
  <c r="I42" i="7"/>
  <c r="J42" i="7"/>
  <c r="K42" i="7"/>
  <c r="G43" i="7"/>
  <c r="H43" i="7"/>
  <c r="I43" i="7"/>
  <c r="J43" i="7"/>
  <c r="K43" i="7"/>
  <c r="G44" i="7"/>
  <c r="H44" i="7"/>
  <c r="I44" i="7"/>
  <c r="J44" i="7"/>
  <c r="K44" i="7"/>
  <c r="G45" i="7"/>
  <c r="H45" i="7"/>
  <c r="I45" i="7"/>
  <c r="J45" i="7"/>
  <c r="K45" i="7"/>
  <c r="G46" i="7"/>
  <c r="H46" i="7"/>
  <c r="I46" i="7"/>
  <c r="J46" i="7"/>
  <c r="K46" i="7"/>
  <c r="G47" i="7"/>
  <c r="H47" i="7"/>
  <c r="I47" i="7"/>
  <c r="J47" i="7"/>
  <c r="K47" i="7"/>
  <c r="G48" i="7"/>
  <c r="H48" i="7"/>
  <c r="I48" i="7"/>
  <c r="J48" i="7"/>
  <c r="K48" i="7"/>
  <c r="G49" i="7"/>
  <c r="H49" i="7"/>
  <c r="I49" i="7"/>
  <c r="J49" i="7"/>
  <c r="K49" i="7"/>
  <c r="G50" i="7"/>
  <c r="H50" i="7"/>
  <c r="I50" i="7"/>
  <c r="J50" i="7"/>
  <c r="K50" i="7"/>
  <c r="G51" i="7"/>
  <c r="H51" i="7"/>
  <c r="I51" i="7"/>
  <c r="J51" i="7"/>
  <c r="K51" i="7"/>
  <c r="G52" i="7"/>
  <c r="H52" i="7"/>
  <c r="I52" i="7"/>
  <c r="J52" i="7"/>
  <c r="K52" i="7"/>
  <c r="G53" i="7"/>
  <c r="H53" i="7"/>
  <c r="I53" i="7"/>
  <c r="J53" i="7"/>
  <c r="K53" i="7"/>
  <c r="G54" i="7"/>
  <c r="H54" i="7"/>
  <c r="I54" i="7"/>
  <c r="J54" i="7"/>
  <c r="K54" i="7"/>
  <c r="G55" i="7"/>
  <c r="H55" i="7"/>
  <c r="I55" i="7"/>
  <c r="J55" i="7"/>
  <c r="K55" i="7"/>
  <c r="G56" i="7"/>
  <c r="H56" i="7"/>
  <c r="I56" i="7"/>
  <c r="J56" i="7"/>
  <c r="K56" i="7"/>
  <c r="G57" i="7"/>
  <c r="H57" i="7"/>
  <c r="I57" i="7"/>
  <c r="J57" i="7"/>
  <c r="K57" i="7"/>
  <c r="G58" i="7"/>
  <c r="H58" i="7"/>
  <c r="I58" i="7"/>
  <c r="J58" i="7"/>
  <c r="K58" i="7"/>
  <c r="G59" i="7"/>
  <c r="H59" i="7"/>
  <c r="I59" i="7"/>
  <c r="J59" i="7"/>
  <c r="K59" i="7"/>
  <c r="G60" i="7"/>
  <c r="H60" i="7"/>
  <c r="I60" i="7"/>
  <c r="J60" i="7"/>
  <c r="K60" i="7"/>
  <c r="G61" i="7"/>
  <c r="H61" i="7"/>
  <c r="I61" i="7"/>
  <c r="J61" i="7"/>
  <c r="K61" i="7"/>
  <c r="G62" i="7"/>
  <c r="H62" i="7"/>
  <c r="I62" i="7"/>
  <c r="J62" i="7"/>
  <c r="K62" i="7"/>
  <c r="G63" i="7"/>
  <c r="H63" i="7"/>
  <c r="I63" i="7"/>
  <c r="J63" i="7"/>
  <c r="K63" i="7"/>
  <c r="G64" i="7"/>
  <c r="H64" i="7"/>
  <c r="I64" i="7"/>
  <c r="J64" i="7"/>
  <c r="K64" i="7"/>
  <c r="G65" i="7"/>
  <c r="H65" i="7"/>
  <c r="I65" i="7"/>
  <c r="J65" i="7"/>
  <c r="K65" i="7"/>
  <c r="G66" i="7"/>
  <c r="H66" i="7"/>
  <c r="I66" i="7"/>
  <c r="J66" i="7"/>
  <c r="K66" i="7"/>
  <c r="G67" i="7"/>
  <c r="H67" i="7"/>
  <c r="I67" i="7"/>
  <c r="J67" i="7"/>
  <c r="K67" i="7"/>
  <c r="G68" i="7"/>
  <c r="H68" i="7"/>
  <c r="I68" i="7"/>
  <c r="J68" i="7"/>
  <c r="K68" i="7"/>
  <c r="G69" i="7"/>
  <c r="H69" i="7"/>
  <c r="I69" i="7"/>
  <c r="J69" i="7"/>
  <c r="K69" i="7"/>
  <c r="G70" i="7"/>
  <c r="H70" i="7"/>
  <c r="I70" i="7"/>
  <c r="J70" i="7"/>
  <c r="K70" i="7"/>
  <c r="G71" i="7"/>
  <c r="H71" i="7"/>
  <c r="I71" i="7"/>
  <c r="J71" i="7"/>
  <c r="K71" i="7"/>
  <c r="G72" i="7"/>
  <c r="H72" i="7"/>
  <c r="I72" i="7"/>
  <c r="J72" i="7"/>
  <c r="K72" i="7"/>
  <c r="G73" i="7"/>
  <c r="H73" i="7"/>
  <c r="I73" i="7"/>
  <c r="J73" i="7"/>
  <c r="K73" i="7"/>
  <c r="G74" i="7"/>
  <c r="H74" i="7"/>
  <c r="I74" i="7"/>
  <c r="J74" i="7"/>
  <c r="K74" i="7"/>
  <c r="G75" i="7"/>
  <c r="H75" i="7"/>
  <c r="I75" i="7"/>
  <c r="J75" i="7"/>
  <c r="K75" i="7"/>
  <c r="G76" i="7"/>
  <c r="H76" i="7"/>
  <c r="I76" i="7"/>
  <c r="J76" i="7"/>
  <c r="K76" i="7"/>
  <c r="G77" i="7"/>
  <c r="H77" i="7"/>
  <c r="I77" i="7"/>
  <c r="J77" i="7"/>
  <c r="K77" i="7"/>
  <c r="G78" i="7"/>
  <c r="H78" i="7"/>
  <c r="I78" i="7"/>
  <c r="J78" i="7"/>
  <c r="K78" i="7"/>
  <c r="G79" i="7"/>
  <c r="H79" i="7"/>
  <c r="I79" i="7"/>
  <c r="J79" i="7"/>
  <c r="K79" i="7"/>
  <c r="G80" i="7"/>
  <c r="H80" i="7"/>
  <c r="I80" i="7"/>
  <c r="J80" i="7"/>
  <c r="K80" i="7"/>
  <c r="G81" i="7"/>
  <c r="H81" i="7"/>
  <c r="I81" i="7"/>
  <c r="J81" i="7"/>
  <c r="K81" i="7"/>
  <c r="G82" i="7"/>
  <c r="H82" i="7"/>
  <c r="I82" i="7"/>
  <c r="J82" i="7"/>
  <c r="K82" i="7"/>
  <c r="G83" i="7"/>
  <c r="H83" i="7"/>
  <c r="I83" i="7"/>
  <c r="J83" i="7"/>
  <c r="K83" i="7"/>
  <c r="G84" i="7"/>
  <c r="H84" i="7"/>
  <c r="I84" i="7"/>
  <c r="J84" i="7"/>
  <c r="K84" i="7"/>
  <c r="G85" i="7"/>
  <c r="H85" i="7"/>
  <c r="I85" i="7"/>
  <c r="J85" i="7"/>
  <c r="K85" i="7"/>
  <c r="G86" i="7"/>
  <c r="H86" i="7"/>
  <c r="I86" i="7"/>
  <c r="J86" i="7"/>
  <c r="K86" i="7"/>
  <c r="G87" i="7"/>
  <c r="H87" i="7"/>
  <c r="I87" i="7"/>
  <c r="J87" i="7"/>
  <c r="K87" i="7"/>
  <c r="G88" i="7"/>
  <c r="H88" i="7"/>
  <c r="I88" i="7"/>
  <c r="J88" i="7"/>
  <c r="K88" i="7"/>
  <c r="G89" i="7"/>
  <c r="H89" i="7"/>
  <c r="I89" i="7"/>
  <c r="J89" i="7"/>
  <c r="K89" i="7"/>
  <c r="G90" i="7"/>
  <c r="H90" i="7"/>
  <c r="I90" i="7"/>
  <c r="J90" i="7"/>
  <c r="K90" i="7"/>
  <c r="G91" i="7"/>
  <c r="H91" i="7"/>
  <c r="I91" i="7"/>
  <c r="J91" i="7"/>
  <c r="K91" i="7"/>
  <c r="G92" i="7"/>
  <c r="H92" i="7"/>
  <c r="I92" i="7"/>
  <c r="J92" i="7"/>
  <c r="K92" i="7"/>
  <c r="G93" i="7"/>
  <c r="H93" i="7"/>
  <c r="I93" i="7"/>
  <c r="J93" i="7"/>
  <c r="K93" i="7"/>
  <c r="G94" i="7"/>
  <c r="H94" i="7"/>
  <c r="I94" i="7"/>
  <c r="J94" i="7"/>
  <c r="K94" i="7"/>
  <c r="G95" i="7"/>
  <c r="H95" i="7"/>
  <c r="I95" i="7"/>
  <c r="J95" i="7"/>
  <c r="K95" i="7"/>
  <c r="G96" i="7"/>
  <c r="H96" i="7"/>
  <c r="I96" i="7"/>
  <c r="J96" i="7"/>
  <c r="K96" i="7"/>
  <c r="G97" i="7"/>
  <c r="H97" i="7"/>
  <c r="I97" i="7"/>
  <c r="J97" i="7"/>
  <c r="K97" i="7"/>
  <c r="G98" i="7"/>
  <c r="H98" i="7"/>
  <c r="I98" i="7"/>
  <c r="J98" i="7"/>
  <c r="K98" i="7"/>
  <c r="G99" i="7"/>
  <c r="H99" i="7"/>
  <c r="I99" i="7"/>
  <c r="J99" i="7"/>
  <c r="K99" i="7"/>
  <c r="G100" i="7"/>
  <c r="H100" i="7"/>
  <c r="I100" i="7"/>
  <c r="J100" i="7"/>
  <c r="K100" i="7"/>
  <c r="G101" i="7"/>
  <c r="H101" i="7"/>
  <c r="I101" i="7"/>
  <c r="J101" i="7"/>
  <c r="K101" i="7"/>
  <c r="G102" i="7"/>
  <c r="H102" i="7"/>
  <c r="I102" i="7"/>
  <c r="J102" i="7"/>
  <c r="K102" i="7"/>
  <c r="G103" i="7"/>
  <c r="H103" i="7"/>
  <c r="I103" i="7"/>
  <c r="J103" i="7"/>
  <c r="K103" i="7"/>
  <c r="G104" i="7"/>
  <c r="H104" i="7"/>
  <c r="I104" i="7"/>
  <c r="J104" i="7"/>
  <c r="K104" i="7"/>
  <c r="G105" i="7"/>
  <c r="H105" i="7"/>
  <c r="I105" i="7"/>
  <c r="J105" i="7"/>
  <c r="K105" i="7"/>
  <c r="G106" i="7"/>
  <c r="H106" i="7"/>
  <c r="I106" i="7"/>
  <c r="J106" i="7"/>
  <c r="K106" i="7"/>
  <c r="G107" i="7"/>
  <c r="H107" i="7"/>
  <c r="I107" i="7"/>
  <c r="J107" i="7"/>
  <c r="K107" i="7"/>
  <c r="G108" i="7"/>
  <c r="H108" i="7"/>
  <c r="I108" i="7"/>
  <c r="J108" i="7"/>
  <c r="K108" i="7"/>
  <c r="G109" i="7"/>
  <c r="H109" i="7"/>
  <c r="I109" i="7"/>
  <c r="J109" i="7"/>
  <c r="K109" i="7"/>
  <c r="G110" i="7"/>
  <c r="H110" i="7"/>
  <c r="I110" i="7"/>
  <c r="J110" i="7"/>
  <c r="K110" i="7"/>
  <c r="G111" i="7"/>
  <c r="H111" i="7"/>
  <c r="I111" i="7"/>
  <c r="J111" i="7"/>
  <c r="K111" i="7"/>
  <c r="G112" i="7"/>
  <c r="H112" i="7"/>
  <c r="I112" i="7"/>
  <c r="J112" i="7"/>
  <c r="K112" i="7"/>
  <c r="G113" i="7"/>
  <c r="H113" i="7"/>
  <c r="I113" i="7"/>
  <c r="J113" i="7"/>
  <c r="K113" i="7"/>
  <c r="G114" i="7"/>
  <c r="H114" i="7"/>
  <c r="I114" i="7"/>
  <c r="J114" i="7"/>
  <c r="K114" i="7"/>
  <c r="G115" i="7"/>
  <c r="H115" i="7"/>
  <c r="I115" i="7"/>
  <c r="J115" i="7"/>
  <c r="K115" i="7"/>
  <c r="G116" i="7"/>
  <c r="H116" i="7"/>
  <c r="I116" i="7"/>
  <c r="J116" i="7"/>
  <c r="K116" i="7"/>
  <c r="G117" i="7"/>
  <c r="H117" i="7"/>
  <c r="I117" i="7"/>
  <c r="J117" i="7"/>
  <c r="K117" i="7"/>
  <c r="G118" i="7"/>
  <c r="H118" i="7"/>
  <c r="I118" i="7"/>
  <c r="J118" i="7"/>
  <c r="K118" i="7"/>
  <c r="G119" i="7"/>
  <c r="H119" i="7"/>
  <c r="I119" i="7"/>
  <c r="J119" i="7"/>
  <c r="K119" i="7"/>
  <c r="G120" i="7"/>
  <c r="H120" i="7"/>
  <c r="I120" i="7"/>
  <c r="J120" i="7"/>
  <c r="K120" i="7"/>
  <c r="G121" i="7"/>
  <c r="H121" i="7"/>
  <c r="I121" i="7"/>
  <c r="J121" i="7"/>
  <c r="K121" i="7"/>
  <c r="G122" i="7"/>
  <c r="H122" i="7"/>
  <c r="I122" i="7"/>
  <c r="J122" i="7"/>
  <c r="K122" i="7"/>
  <c r="G123" i="7"/>
  <c r="H123" i="7"/>
  <c r="I123" i="7"/>
  <c r="J123" i="7"/>
  <c r="K123" i="7"/>
  <c r="G124" i="7"/>
  <c r="H124" i="7"/>
  <c r="I124" i="7"/>
  <c r="J124" i="7"/>
  <c r="K124" i="7"/>
  <c r="G125" i="7"/>
  <c r="H125" i="7"/>
  <c r="I125" i="7"/>
  <c r="J125" i="7"/>
  <c r="K125" i="7"/>
  <c r="G126" i="7"/>
  <c r="H126" i="7"/>
  <c r="I126" i="7"/>
  <c r="J126" i="7"/>
  <c r="K126" i="7"/>
  <c r="G127" i="7"/>
  <c r="H127" i="7"/>
  <c r="I127" i="7"/>
  <c r="J127" i="7"/>
  <c r="K127" i="7"/>
  <c r="G128" i="7"/>
  <c r="H128" i="7"/>
  <c r="I128" i="7"/>
  <c r="J128" i="7"/>
  <c r="K128" i="7"/>
  <c r="G129" i="7"/>
  <c r="H129" i="7"/>
  <c r="I129" i="7"/>
  <c r="J129" i="7"/>
  <c r="K129" i="7"/>
  <c r="G130" i="7"/>
  <c r="H130" i="7"/>
  <c r="I130" i="7"/>
  <c r="J130" i="7"/>
  <c r="K130" i="7"/>
  <c r="G131" i="7"/>
  <c r="H131" i="7"/>
  <c r="I131" i="7"/>
  <c r="J131" i="7"/>
  <c r="K131" i="7"/>
  <c r="G132" i="7"/>
  <c r="H132" i="7"/>
  <c r="I132" i="7"/>
  <c r="J132" i="7"/>
  <c r="K132" i="7"/>
  <c r="G133" i="7"/>
  <c r="H133" i="7"/>
  <c r="I133" i="7"/>
  <c r="J133" i="7"/>
  <c r="K133" i="7"/>
  <c r="G134" i="7"/>
  <c r="H134" i="7"/>
  <c r="I134" i="7"/>
  <c r="J134" i="7"/>
  <c r="K134" i="7"/>
  <c r="G135" i="7"/>
  <c r="H135" i="7"/>
  <c r="I135" i="7"/>
  <c r="J135" i="7"/>
  <c r="K135" i="7"/>
  <c r="G136" i="7"/>
  <c r="H136" i="7"/>
  <c r="I136" i="7"/>
  <c r="J136" i="7"/>
  <c r="K136" i="7"/>
  <c r="G137" i="7"/>
  <c r="H137" i="7"/>
  <c r="I137" i="7"/>
  <c r="J137" i="7"/>
  <c r="K137" i="7"/>
  <c r="G138" i="7"/>
  <c r="H138" i="7"/>
  <c r="I138" i="7"/>
  <c r="J138" i="7"/>
  <c r="K138" i="7"/>
  <c r="G139" i="7"/>
  <c r="H139" i="7"/>
  <c r="I139" i="7"/>
  <c r="J139" i="7"/>
  <c r="K139" i="7"/>
  <c r="G140" i="7"/>
  <c r="H140" i="7"/>
  <c r="I140" i="7"/>
  <c r="J140" i="7"/>
  <c r="K140" i="7"/>
  <c r="G141" i="7"/>
  <c r="H141" i="7"/>
  <c r="I141" i="7"/>
  <c r="J141" i="7"/>
  <c r="K141" i="7"/>
  <c r="G142" i="7"/>
  <c r="H142" i="7"/>
  <c r="I142" i="7"/>
  <c r="J142" i="7"/>
  <c r="K142" i="7"/>
  <c r="G143" i="7"/>
  <c r="H143" i="7"/>
  <c r="I143" i="7"/>
  <c r="J143" i="7"/>
  <c r="K143" i="7"/>
  <c r="G144" i="7"/>
  <c r="H144" i="7"/>
  <c r="I144" i="7"/>
  <c r="J144" i="7"/>
  <c r="K144" i="7"/>
  <c r="G145" i="7"/>
  <c r="H145" i="7"/>
  <c r="I145" i="7"/>
  <c r="J145" i="7"/>
  <c r="K145" i="7"/>
  <c r="G146" i="7"/>
  <c r="H146" i="7"/>
  <c r="I146" i="7"/>
  <c r="J146" i="7"/>
  <c r="K146" i="7"/>
  <c r="G147" i="7"/>
  <c r="H147" i="7"/>
  <c r="I147" i="7"/>
  <c r="J147" i="7"/>
  <c r="K147" i="7"/>
  <c r="G148" i="7"/>
  <c r="H148" i="7"/>
  <c r="I148" i="7"/>
  <c r="J148" i="7"/>
  <c r="K148" i="7"/>
  <c r="G149" i="7"/>
  <c r="H149" i="7"/>
  <c r="I149" i="7"/>
  <c r="J149" i="7"/>
  <c r="K149" i="7"/>
  <c r="G150" i="7"/>
  <c r="H150" i="7"/>
  <c r="I150" i="7"/>
  <c r="J150" i="7"/>
  <c r="K150" i="7"/>
  <c r="G151" i="7"/>
  <c r="H151" i="7"/>
  <c r="I151" i="7"/>
  <c r="J151" i="7"/>
  <c r="K151" i="7"/>
  <c r="G152" i="7"/>
  <c r="H152" i="7"/>
  <c r="I152" i="7"/>
  <c r="J152" i="7"/>
  <c r="K152" i="7"/>
  <c r="G153" i="7"/>
  <c r="H153" i="7"/>
  <c r="I153" i="7"/>
  <c r="J153" i="7"/>
  <c r="K153" i="7"/>
  <c r="G154" i="7"/>
  <c r="H154" i="7"/>
  <c r="I154" i="7"/>
  <c r="J154" i="7"/>
  <c r="K154" i="7"/>
  <c r="G155" i="7"/>
  <c r="H155" i="7"/>
  <c r="I155" i="7"/>
  <c r="J155" i="7"/>
  <c r="K155" i="7"/>
  <c r="G156" i="7"/>
  <c r="H156" i="7"/>
  <c r="I156" i="7"/>
  <c r="J156" i="7"/>
  <c r="K156" i="7"/>
  <c r="G157" i="7"/>
  <c r="H157" i="7"/>
  <c r="I157" i="7"/>
  <c r="J157" i="7"/>
  <c r="K157" i="7"/>
  <c r="G158" i="7"/>
  <c r="H158" i="7"/>
  <c r="I158" i="7"/>
  <c r="J158" i="7"/>
  <c r="K158" i="7"/>
  <c r="G159" i="7"/>
  <c r="H159" i="7"/>
  <c r="I159" i="7"/>
  <c r="J159" i="7"/>
  <c r="K159" i="7"/>
  <c r="G160" i="7"/>
  <c r="H160" i="7"/>
  <c r="I160" i="7"/>
  <c r="J160" i="7"/>
  <c r="K160" i="7"/>
  <c r="G161" i="7"/>
  <c r="H161" i="7"/>
  <c r="I161" i="7"/>
  <c r="J161" i="7"/>
  <c r="K161" i="7"/>
  <c r="G162" i="7"/>
  <c r="H162" i="7"/>
  <c r="I162" i="7"/>
  <c r="J162" i="7"/>
  <c r="K162" i="7"/>
  <c r="G163" i="7"/>
  <c r="H163" i="7"/>
  <c r="I163" i="7"/>
  <c r="J163" i="7"/>
  <c r="K163" i="7"/>
  <c r="G164" i="7"/>
  <c r="H164" i="7"/>
  <c r="I164" i="7"/>
  <c r="J164" i="7"/>
  <c r="K164" i="7"/>
  <c r="G165" i="7"/>
  <c r="H165" i="7"/>
  <c r="I165" i="7"/>
  <c r="J165" i="7"/>
  <c r="K165" i="7"/>
  <c r="G166" i="7"/>
  <c r="H166" i="7"/>
  <c r="I166" i="7"/>
  <c r="J166" i="7"/>
  <c r="K166" i="7"/>
  <c r="G167" i="7"/>
  <c r="H167" i="7"/>
  <c r="I167" i="7"/>
  <c r="J167" i="7"/>
  <c r="K167" i="7"/>
  <c r="G168" i="7"/>
  <c r="H168" i="7"/>
  <c r="I168" i="7"/>
  <c r="J168" i="7"/>
  <c r="K168" i="7"/>
  <c r="G169" i="7"/>
  <c r="H169" i="7"/>
  <c r="I169" i="7"/>
  <c r="J169" i="7"/>
  <c r="K169" i="7"/>
  <c r="G170" i="7"/>
  <c r="H170" i="7"/>
  <c r="I170" i="7"/>
  <c r="J170" i="7"/>
  <c r="K170" i="7"/>
  <c r="G171" i="7"/>
  <c r="H171" i="7"/>
  <c r="I171" i="7"/>
  <c r="J171" i="7"/>
  <c r="K171" i="7"/>
  <c r="G172" i="7"/>
  <c r="H172" i="7"/>
  <c r="I172" i="7"/>
  <c r="J172" i="7"/>
  <c r="K172" i="7"/>
  <c r="G173" i="7"/>
  <c r="H173" i="7"/>
  <c r="I173" i="7"/>
  <c r="J173" i="7"/>
  <c r="K173" i="7"/>
  <c r="G174" i="7"/>
  <c r="H174" i="7"/>
  <c r="I174" i="7"/>
  <c r="J174" i="7"/>
  <c r="K174" i="7"/>
  <c r="G175" i="7"/>
  <c r="H175" i="7"/>
  <c r="I175" i="7"/>
  <c r="J175" i="7"/>
  <c r="K175" i="7"/>
  <c r="G176" i="7"/>
  <c r="H176" i="7"/>
  <c r="I176" i="7"/>
  <c r="J176" i="7"/>
  <c r="K176" i="7"/>
  <c r="G177" i="7"/>
  <c r="H177" i="7"/>
  <c r="I177" i="7"/>
  <c r="J177" i="7"/>
  <c r="K177" i="7"/>
  <c r="G178" i="7"/>
  <c r="H178" i="7"/>
  <c r="I178" i="7"/>
  <c r="J178" i="7"/>
  <c r="K178" i="7"/>
  <c r="G179" i="7"/>
  <c r="H179" i="7"/>
  <c r="I179" i="7"/>
  <c r="J179" i="7"/>
  <c r="K179" i="7"/>
  <c r="G180" i="7"/>
  <c r="H180" i="7"/>
  <c r="I180" i="7"/>
  <c r="J180" i="7"/>
  <c r="K180" i="7"/>
  <c r="G181" i="7"/>
  <c r="H181" i="7"/>
  <c r="I181" i="7"/>
  <c r="J181" i="7"/>
  <c r="K181" i="7"/>
  <c r="H2" i="7"/>
  <c r="I2" i="7"/>
  <c r="J2" i="7"/>
  <c r="K2" i="7"/>
  <c r="G2" i="7"/>
  <c r="G77" i="5"/>
  <c r="H77" i="5"/>
  <c r="I77" i="5"/>
  <c r="J77" i="5"/>
  <c r="K77" i="5"/>
  <c r="G78" i="5"/>
  <c r="H78" i="5"/>
  <c r="I78" i="5"/>
  <c r="J78" i="5"/>
  <c r="K78" i="5"/>
  <c r="G79" i="5"/>
  <c r="H79" i="5"/>
  <c r="I79" i="5"/>
  <c r="J79" i="5"/>
  <c r="K79" i="5"/>
  <c r="G80" i="5"/>
  <c r="H80" i="5"/>
  <c r="I80" i="5"/>
  <c r="J80" i="5"/>
  <c r="K80" i="5"/>
  <c r="G81" i="5"/>
  <c r="H81" i="5"/>
  <c r="I81" i="5"/>
  <c r="J81" i="5"/>
  <c r="K81" i="5"/>
  <c r="G82" i="5"/>
  <c r="H82" i="5"/>
  <c r="I82" i="5"/>
  <c r="J82" i="5"/>
  <c r="K82" i="5"/>
  <c r="G83" i="5"/>
  <c r="H83" i="5"/>
  <c r="I83" i="5"/>
  <c r="J83" i="5"/>
  <c r="K83" i="5"/>
  <c r="G84" i="5"/>
  <c r="H84" i="5"/>
  <c r="I84" i="5"/>
  <c r="J84" i="5"/>
  <c r="K84" i="5"/>
  <c r="G85" i="5"/>
  <c r="H85" i="5"/>
  <c r="I85" i="5"/>
  <c r="J85" i="5"/>
  <c r="K85" i="5"/>
  <c r="G86" i="5"/>
  <c r="H86" i="5"/>
  <c r="I86" i="5"/>
  <c r="J86" i="5"/>
  <c r="K86" i="5"/>
  <c r="G87" i="5"/>
  <c r="H87" i="5"/>
  <c r="I87" i="5"/>
  <c r="J87" i="5"/>
  <c r="K87" i="5"/>
  <c r="G88" i="5"/>
  <c r="H88" i="5"/>
  <c r="I88" i="5"/>
  <c r="J88" i="5"/>
  <c r="K88" i="5"/>
  <c r="G89" i="5"/>
  <c r="H89" i="5"/>
  <c r="I89" i="5"/>
  <c r="J89" i="5"/>
  <c r="K89" i="5"/>
  <c r="G90" i="5"/>
  <c r="H90" i="5"/>
  <c r="I90" i="5"/>
  <c r="J90" i="5"/>
  <c r="K90" i="5"/>
  <c r="G91" i="5"/>
  <c r="H91" i="5"/>
  <c r="I91" i="5"/>
  <c r="J91" i="5"/>
  <c r="K91" i="5"/>
  <c r="G92" i="5"/>
  <c r="H92" i="5"/>
  <c r="I92" i="5"/>
  <c r="J92" i="5"/>
  <c r="K92" i="5"/>
  <c r="G93" i="5"/>
  <c r="H93" i="5"/>
  <c r="I93" i="5"/>
  <c r="J93" i="5"/>
  <c r="K93" i="5"/>
  <c r="G94" i="5"/>
  <c r="H94" i="5"/>
  <c r="I94" i="5"/>
  <c r="J94" i="5"/>
  <c r="K94" i="5"/>
  <c r="G95" i="5"/>
  <c r="H95" i="5"/>
  <c r="I95" i="5"/>
  <c r="J95" i="5"/>
  <c r="K95" i="5"/>
  <c r="G96" i="5"/>
  <c r="H96" i="5"/>
  <c r="I96" i="5"/>
  <c r="J96" i="5"/>
  <c r="K96" i="5"/>
  <c r="G97" i="5"/>
  <c r="H97" i="5"/>
  <c r="I97" i="5"/>
  <c r="J97" i="5"/>
  <c r="K97" i="5"/>
  <c r="G98" i="5"/>
  <c r="H98" i="5"/>
  <c r="I98" i="5"/>
  <c r="J98" i="5"/>
  <c r="K98" i="5"/>
  <c r="G99" i="5"/>
  <c r="H99" i="5"/>
  <c r="I99" i="5"/>
  <c r="J99" i="5"/>
  <c r="K99" i="5"/>
  <c r="G100" i="5"/>
  <c r="H100" i="5"/>
  <c r="I100" i="5"/>
  <c r="J100" i="5"/>
  <c r="K100" i="5"/>
  <c r="G101" i="5"/>
  <c r="H101" i="5"/>
  <c r="I101" i="5"/>
  <c r="J101" i="5"/>
  <c r="K101" i="5"/>
  <c r="G102" i="5"/>
  <c r="H102" i="5"/>
  <c r="I102" i="5"/>
  <c r="J102" i="5"/>
  <c r="K102" i="5"/>
  <c r="G103" i="5"/>
  <c r="H103" i="5"/>
  <c r="I103" i="5"/>
  <c r="J103" i="5"/>
  <c r="K103" i="5"/>
  <c r="G104" i="5"/>
  <c r="H104" i="5"/>
  <c r="I104" i="5"/>
  <c r="J104" i="5"/>
  <c r="K104" i="5"/>
  <c r="G105" i="5"/>
  <c r="H105" i="5"/>
  <c r="I105" i="5"/>
  <c r="J105" i="5"/>
  <c r="K105" i="5"/>
  <c r="G106" i="5"/>
  <c r="H106" i="5"/>
  <c r="I106" i="5"/>
  <c r="J106" i="5"/>
  <c r="K106" i="5"/>
  <c r="G107" i="5"/>
  <c r="H107" i="5"/>
  <c r="I107" i="5"/>
  <c r="J107" i="5"/>
  <c r="K107" i="5"/>
  <c r="G108" i="5"/>
  <c r="H108" i="5"/>
  <c r="I108" i="5"/>
  <c r="J108" i="5"/>
  <c r="K108" i="5"/>
  <c r="G109" i="5"/>
  <c r="H109" i="5"/>
  <c r="I109" i="5"/>
  <c r="J109" i="5"/>
  <c r="K109" i="5"/>
  <c r="G110" i="5"/>
  <c r="H110" i="5"/>
  <c r="I110" i="5"/>
  <c r="J110" i="5"/>
  <c r="K110" i="5"/>
  <c r="G111" i="5"/>
  <c r="H111" i="5"/>
  <c r="I111" i="5"/>
  <c r="J111" i="5"/>
  <c r="K111" i="5"/>
  <c r="G112" i="5"/>
  <c r="H112" i="5"/>
  <c r="I112" i="5"/>
  <c r="J112" i="5"/>
  <c r="K112" i="5"/>
  <c r="G113" i="5"/>
  <c r="H113" i="5"/>
  <c r="I113" i="5"/>
  <c r="J113" i="5"/>
  <c r="K113" i="5"/>
  <c r="G114" i="5"/>
  <c r="H114" i="5"/>
  <c r="I114" i="5"/>
  <c r="J114" i="5"/>
  <c r="K114" i="5"/>
  <c r="G115" i="5"/>
  <c r="H115" i="5"/>
  <c r="I115" i="5"/>
  <c r="J115" i="5"/>
  <c r="K115" i="5"/>
  <c r="G116" i="5"/>
  <c r="H116" i="5"/>
  <c r="I116" i="5"/>
  <c r="J116" i="5"/>
  <c r="K116" i="5"/>
  <c r="G117" i="5"/>
  <c r="H117" i="5"/>
  <c r="I117" i="5"/>
  <c r="J117" i="5"/>
  <c r="K117" i="5"/>
  <c r="G118" i="5"/>
  <c r="H118" i="5"/>
  <c r="I118" i="5"/>
  <c r="J118" i="5"/>
  <c r="K118" i="5"/>
  <c r="G119" i="5"/>
  <c r="H119" i="5"/>
  <c r="I119" i="5"/>
  <c r="J119" i="5"/>
  <c r="K119" i="5"/>
  <c r="G120" i="5"/>
  <c r="H120" i="5"/>
  <c r="I120" i="5"/>
  <c r="J120" i="5"/>
  <c r="K120" i="5"/>
  <c r="G121" i="5"/>
  <c r="H121" i="5"/>
  <c r="I121" i="5"/>
  <c r="J121" i="5"/>
  <c r="K121" i="5"/>
  <c r="G122" i="5"/>
  <c r="H122" i="5"/>
  <c r="I122" i="5"/>
  <c r="J122" i="5"/>
  <c r="K122" i="5"/>
  <c r="G123" i="5"/>
  <c r="H123" i="5"/>
  <c r="I123" i="5"/>
  <c r="J123" i="5"/>
  <c r="K123" i="5"/>
  <c r="G124" i="5"/>
  <c r="H124" i="5"/>
  <c r="I124" i="5"/>
  <c r="J124" i="5"/>
  <c r="K124" i="5"/>
  <c r="G125" i="5"/>
  <c r="H125" i="5"/>
  <c r="I125" i="5"/>
  <c r="J125" i="5"/>
  <c r="K125" i="5"/>
  <c r="G126" i="5"/>
  <c r="H126" i="5"/>
  <c r="I126" i="5"/>
  <c r="J126" i="5"/>
  <c r="K126" i="5"/>
  <c r="G127" i="5"/>
  <c r="H127" i="5"/>
  <c r="I127" i="5"/>
  <c r="J127" i="5"/>
  <c r="K127" i="5"/>
  <c r="G128" i="5"/>
  <c r="H128" i="5"/>
  <c r="I128" i="5"/>
  <c r="J128" i="5"/>
  <c r="K128" i="5"/>
  <c r="G129" i="5"/>
  <c r="H129" i="5"/>
  <c r="I129" i="5"/>
  <c r="J129" i="5"/>
  <c r="K129" i="5"/>
  <c r="G130" i="5"/>
  <c r="H130" i="5"/>
  <c r="I130" i="5"/>
  <c r="J130" i="5"/>
  <c r="K130" i="5"/>
  <c r="G131" i="5"/>
  <c r="H131" i="5"/>
  <c r="I131" i="5"/>
  <c r="J131" i="5"/>
  <c r="K131" i="5"/>
  <c r="G132" i="5"/>
  <c r="H132" i="5"/>
  <c r="I132" i="5"/>
  <c r="J132" i="5"/>
  <c r="K132" i="5"/>
  <c r="G133" i="5"/>
  <c r="H133" i="5"/>
  <c r="I133" i="5"/>
  <c r="J133" i="5"/>
  <c r="K133" i="5"/>
  <c r="G134" i="5"/>
  <c r="H134" i="5"/>
  <c r="I134" i="5"/>
  <c r="J134" i="5"/>
  <c r="K134" i="5"/>
  <c r="G135" i="5"/>
  <c r="H135" i="5"/>
  <c r="I135" i="5"/>
  <c r="J135" i="5"/>
  <c r="K135" i="5"/>
  <c r="G136" i="5"/>
  <c r="H136" i="5"/>
  <c r="I136" i="5"/>
  <c r="J136" i="5"/>
  <c r="K136" i="5"/>
  <c r="G137" i="5"/>
  <c r="H137" i="5"/>
  <c r="I137" i="5"/>
  <c r="J137" i="5"/>
  <c r="K137" i="5"/>
  <c r="G138" i="5"/>
  <c r="H138" i="5"/>
  <c r="I138" i="5"/>
  <c r="J138" i="5"/>
  <c r="K138" i="5"/>
  <c r="G139" i="5"/>
  <c r="H139" i="5"/>
  <c r="I139" i="5"/>
  <c r="J139" i="5"/>
  <c r="K139" i="5"/>
  <c r="G140" i="5"/>
  <c r="H140" i="5"/>
  <c r="I140" i="5"/>
  <c r="J140" i="5"/>
  <c r="K140" i="5"/>
  <c r="G141" i="5"/>
  <c r="H141" i="5"/>
  <c r="I141" i="5"/>
  <c r="J141" i="5"/>
  <c r="K141" i="5"/>
  <c r="G142" i="5"/>
  <c r="H142" i="5"/>
  <c r="I142" i="5"/>
  <c r="J142" i="5"/>
  <c r="K142" i="5"/>
  <c r="G143" i="5"/>
  <c r="H143" i="5"/>
  <c r="I143" i="5"/>
  <c r="J143" i="5"/>
  <c r="K143" i="5"/>
  <c r="G144" i="5"/>
  <c r="H144" i="5"/>
  <c r="I144" i="5"/>
  <c r="J144" i="5"/>
  <c r="K144" i="5"/>
  <c r="G145" i="5"/>
  <c r="H145" i="5"/>
  <c r="I145" i="5"/>
  <c r="J145" i="5"/>
  <c r="K145" i="5"/>
  <c r="G146" i="5"/>
  <c r="H146" i="5"/>
  <c r="I146" i="5"/>
  <c r="J146" i="5"/>
  <c r="K146" i="5"/>
  <c r="G147" i="5"/>
  <c r="H147" i="5"/>
  <c r="I147" i="5"/>
  <c r="J147" i="5"/>
  <c r="K147" i="5"/>
  <c r="G148" i="5"/>
  <c r="H148" i="5"/>
  <c r="I148" i="5"/>
  <c r="J148" i="5"/>
  <c r="K148" i="5"/>
  <c r="G149" i="5"/>
  <c r="H149" i="5"/>
  <c r="I149" i="5"/>
  <c r="J149" i="5"/>
  <c r="K149" i="5"/>
  <c r="G150" i="5"/>
  <c r="H150" i="5"/>
  <c r="I150" i="5"/>
  <c r="J150" i="5"/>
  <c r="K150" i="5"/>
  <c r="G151" i="5"/>
  <c r="H151" i="5"/>
  <c r="I151" i="5"/>
  <c r="J151" i="5"/>
  <c r="K151" i="5"/>
  <c r="G152" i="5"/>
  <c r="H152" i="5"/>
  <c r="I152" i="5"/>
  <c r="J152" i="5"/>
  <c r="K152" i="5"/>
  <c r="G153" i="5"/>
  <c r="H153" i="5"/>
  <c r="I153" i="5"/>
  <c r="J153" i="5"/>
  <c r="K153" i="5"/>
  <c r="G154" i="5"/>
  <c r="H154" i="5"/>
  <c r="I154" i="5"/>
  <c r="J154" i="5"/>
  <c r="K154" i="5"/>
  <c r="G155" i="5"/>
  <c r="H155" i="5"/>
  <c r="I155" i="5"/>
  <c r="J155" i="5"/>
  <c r="K155" i="5"/>
  <c r="G156" i="5"/>
  <c r="H156" i="5"/>
  <c r="I156" i="5"/>
  <c r="J156" i="5"/>
  <c r="K156" i="5"/>
  <c r="G157" i="5"/>
  <c r="H157" i="5"/>
  <c r="I157" i="5"/>
  <c r="J157" i="5"/>
  <c r="K157" i="5"/>
  <c r="G158" i="5"/>
  <c r="H158" i="5"/>
  <c r="I158" i="5"/>
  <c r="J158" i="5"/>
  <c r="K158" i="5"/>
  <c r="G159" i="5"/>
  <c r="H159" i="5"/>
  <c r="I159" i="5"/>
  <c r="J159" i="5"/>
  <c r="K159" i="5"/>
  <c r="G160" i="5"/>
  <c r="H160" i="5"/>
  <c r="I160" i="5"/>
  <c r="J160" i="5"/>
  <c r="K160" i="5"/>
  <c r="G161" i="5"/>
  <c r="H161" i="5"/>
  <c r="I161" i="5"/>
  <c r="J161" i="5"/>
  <c r="K161" i="5"/>
  <c r="G162" i="5"/>
  <c r="H162" i="5"/>
  <c r="I162" i="5"/>
  <c r="J162" i="5"/>
  <c r="K162" i="5"/>
  <c r="G163" i="5"/>
  <c r="H163" i="5"/>
  <c r="I163" i="5"/>
  <c r="J163" i="5"/>
  <c r="K163" i="5"/>
  <c r="G164" i="5"/>
  <c r="H164" i="5"/>
  <c r="I164" i="5"/>
  <c r="J164" i="5"/>
  <c r="K164" i="5"/>
  <c r="G165" i="5"/>
  <c r="H165" i="5"/>
  <c r="I165" i="5"/>
  <c r="J165" i="5"/>
  <c r="K165" i="5"/>
  <c r="G166" i="5"/>
  <c r="H166" i="5"/>
  <c r="I166" i="5"/>
  <c r="J166" i="5"/>
  <c r="K166" i="5"/>
  <c r="G167" i="5"/>
  <c r="H167" i="5"/>
  <c r="I167" i="5"/>
  <c r="J167" i="5"/>
  <c r="K167" i="5"/>
  <c r="G168" i="5"/>
  <c r="H168" i="5"/>
  <c r="I168" i="5"/>
  <c r="J168" i="5"/>
  <c r="K168" i="5"/>
  <c r="G169" i="5"/>
  <c r="H169" i="5"/>
  <c r="I169" i="5"/>
  <c r="J169" i="5"/>
  <c r="K169" i="5"/>
  <c r="G170" i="5"/>
  <c r="H170" i="5"/>
  <c r="I170" i="5"/>
  <c r="J170" i="5"/>
  <c r="K170" i="5"/>
  <c r="G171" i="5"/>
  <c r="H171" i="5"/>
  <c r="I171" i="5"/>
  <c r="J171" i="5"/>
  <c r="K171" i="5"/>
  <c r="G172" i="5"/>
  <c r="H172" i="5"/>
  <c r="I172" i="5"/>
  <c r="J172" i="5"/>
  <c r="K172" i="5"/>
  <c r="G173" i="5"/>
  <c r="H173" i="5"/>
  <c r="I173" i="5"/>
  <c r="J173" i="5"/>
  <c r="K173" i="5"/>
  <c r="G174" i="5"/>
  <c r="H174" i="5"/>
  <c r="I174" i="5"/>
  <c r="J174" i="5"/>
  <c r="K174" i="5"/>
  <c r="G175" i="5"/>
  <c r="H175" i="5"/>
  <c r="I175" i="5"/>
  <c r="J175" i="5"/>
  <c r="K175" i="5"/>
  <c r="G176" i="5"/>
  <c r="H176" i="5"/>
  <c r="I176" i="5"/>
  <c r="J176" i="5"/>
  <c r="K176" i="5"/>
  <c r="G177" i="5"/>
  <c r="H177" i="5"/>
  <c r="I177" i="5"/>
  <c r="J177" i="5"/>
  <c r="K177" i="5"/>
  <c r="G178" i="5"/>
  <c r="H178" i="5"/>
  <c r="I178" i="5"/>
  <c r="J178" i="5"/>
  <c r="K178" i="5"/>
  <c r="G179" i="5"/>
  <c r="H179" i="5"/>
  <c r="I179" i="5"/>
  <c r="J179" i="5"/>
  <c r="K179" i="5"/>
  <c r="G180" i="5"/>
  <c r="H180" i="5"/>
  <c r="I180" i="5"/>
  <c r="J180" i="5"/>
  <c r="K180" i="5"/>
  <c r="G181" i="5"/>
  <c r="H181" i="5"/>
  <c r="I181" i="5"/>
  <c r="J181" i="5"/>
  <c r="K181" i="5"/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2" i="5"/>
  <c r="H3" i="5"/>
  <c r="I3" i="5"/>
  <c r="J3" i="5"/>
  <c r="K3" i="5"/>
  <c r="H4" i="5"/>
  <c r="I4" i="5"/>
  <c r="J4" i="5"/>
  <c r="K4" i="5"/>
  <c r="H5" i="5"/>
  <c r="I5" i="5"/>
  <c r="J5" i="5"/>
  <c r="K5" i="5"/>
  <c r="H6" i="5"/>
  <c r="I6" i="5"/>
  <c r="J6" i="5"/>
  <c r="K6" i="5"/>
  <c r="H7" i="5"/>
  <c r="I7" i="5"/>
  <c r="J7" i="5"/>
  <c r="K7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H52" i="5"/>
  <c r="I52" i="5"/>
  <c r="J52" i="5"/>
  <c r="K52" i="5"/>
  <c r="H53" i="5"/>
  <c r="I53" i="5"/>
  <c r="J53" i="5"/>
  <c r="K53" i="5"/>
  <c r="H54" i="5"/>
  <c r="I54" i="5"/>
  <c r="J54" i="5"/>
  <c r="K54" i="5"/>
  <c r="H55" i="5"/>
  <c r="I55" i="5"/>
  <c r="J55" i="5"/>
  <c r="K55" i="5"/>
  <c r="H56" i="5"/>
  <c r="I56" i="5"/>
  <c r="J56" i="5"/>
  <c r="K56" i="5"/>
  <c r="H57" i="5"/>
  <c r="I57" i="5"/>
  <c r="J57" i="5"/>
  <c r="K57" i="5"/>
  <c r="H58" i="5"/>
  <c r="I58" i="5"/>
  <c r="J58" i="5"/>
  <c r="K58" i="5"/>
  <c r="H59" i="5"/>
  <c r="I59" i="5"/>
  <c r="J59" i="5"/>
  <c r="K59" i="5"/>
  <c r="H60" i="5"/>
  <c r="I60" i="5"/>
  <c r="J60" i="5"/>
  <c r="K60" i="5"/>
  <c r="H61" i="5"/>
  <c r="I61" i="5"/>
  <c r="J61" i="5"/>
  <c r="K61" i="5"/>
  <c r="H62" i="5"/>
  <c r="I62" i="5"/>
  <c r="J62" i="5"/>
  <c r="K62" i="5"/>
  <c r="H63" i="5"/>
  <c r="I63" i="5"/>
  <c r="J63" i="5"/>
  <c r="K63" i="5"/>
  <c r="H64" i="5"/>
  <c r="I64" i="5"/>
  <c r="J64" i="5"/>
  <c r="K64" i="5"/>
  <c r="H65" i="5"/>
  <c r="I65" i="5"/>
  <c r="J65" i="5"/>
  <c r="K65" i="5"/>
  <c r="H66" i="5"/>
  <c r="I66" i="5"/>
  <c r="J66" i="5"/>
  <c r="K66" i="5"/>
  <c r="H67" i="5"/>
  <c r="I67" i="5"/>
  <c r="J67" i="5"/>
  <c r="K67" i="5"/>
  <c r="H68" i="5"/>
  <c r="I68" i="5"/>
  <c r="J68" i="5"/>
  <c r="K68" i="5"/>
  <c r="H69" i="5"/>
  <c r="I69" i="5"/>
  <c r="J69" i="5"/>
  <c r="K69" i="5"/>
  <c r="H70" i="5"/>
  <c r="I70" i="5"/>
  <c r="J70" i="5"/>
  <c r="K70" i="5"/>
  <c r="H71" i="5"/>
  <c r="I71" i="5"/>
  <c r="J71" i="5"/>
  <c r="K71" i="5"/>
  <c r="H72" i="5"/>
  <c r="I72" i="5"/>
  <c r="J72" i="5"/>
  <c r="K72" i="5"/>
  <c r="H73" i="5"/>
  <c r="I73" i="5"/>
  <c r="J73" i="5"/>
  <c r="K73" i="5"/>
  <c r="H74" i="5"/>
  <c r="I74" i="5"/>
  <c r="J74" i="5"/>
  <c r="K74" i="5"/>
  <c r="H75" i="5"/>
  <c r="I75" i="5"/>
  <c r="J75" i="5"/>
  <c r="K75" i="5"/>
  <c r="H76" i="5"/>
  <c r="I76" i="5"/>
  <c r="J76" i="5"/>
  <c r="K76" i="5"/>
  <c r="K2" i="5"/>
  <c r="J2" i="5"/>
  <c r="I2" i="5"/>
  <c r="H2" i="5"/>
</calcChain>
</file>

<file path=xl/sharedStrings.xml><?xml version="1.0" encoding="utf-8"?>
<sst xmlns="http://schemas.openxmlformats.org/spreadsheetml/2006/main" count="102" uniqueCount="46">
  <si>
    <t>m</t>
  </si>
  <si>
    <t>n</t>
  </si>
  <si>
    <t>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</si>
  <si>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</si>
  <si>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</si>
  <si>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</si>
  <si>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</si>
  <si>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</si>
  <si>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</si>
  <si>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</si>
  <si>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</si>
  <si>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</si>
  <si>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</si>
  <si>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</si>
  <si>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</si>
  <si>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</si>
  <si>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</si>
  <si>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</si>
  <si>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</si>
  <si>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</si>
  <si>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</si>
  <si>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</si>
  <si>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</si>
  <si>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</si>
  <si>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</si>
  <si>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</si>
  <si>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</si>
  <si>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log_m</t>
  </si>
  <si>
    <t>log_n</t>
  </si>
  <si>
    <t>log_IC_ARL</t>
  </si>
  <si>
    <t>k</t>
  </si>
  <si>
    <t>ARL</t>
  </si>
  <si>
    <t>log k</t>
  </si>
  <si>
    <t>Shapiro-Wilk (Normality of Residuals)</t>
  </si>
  <si>
    <t>Breusch-Pagan (Heteroscedasticity)</t>
  </si>
  <si>
    <t>Durbin-Watson (Autocorrelation)</t>
  </si>
  <si>
    <t>Test RMSE</t>
  </si>
  <si>
    <t>VIF (Variance Inflation Factor)</t>
  </si>
  <si>
    <t>k: 1, m: 1, n: 1, ARL: 1</t>
  </si>
  <si>
    <t>Test (Assumption)</t>
  </si>
  <si>
    <t>P-value/Value</t>
  </si>
  <si>
    <t>Sqrt_k</t>
  </si>
  <si>
    <t>Sqrt_m</t>
  </si>
  <si>
    <t>Sqrt_n</t>
  </si>
  <si>
    <t>Sqrt_ARL</t>
  </si>
  <si>
    <t>Sqrt_H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</si>
</sst>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onsolas"/>
      <family val="3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5</xdr:row>
      <xdr:rowOff>0</xdr:rowOff>
    </xdr:from>
    <xdr:to>
      <xdr:col>26</xdr:col>
      <xdr:colOff>304800</xdr:colOff>
      <xdr:row>6</xdr:row>
      <xdr:rowOff>106680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3BDB739-04D6-6F74-B696-8D5040A2F13E}"/>
            </a:ext>
          </a:extLst>
        </xdr:cNvPr>
        <xdr:cNvSpPr>
          <a:spLocks noChangeAspect="1" noChangeArrowheads="1"/>
        </xdr:cNvSpPr>
      </xdr:nvSpPr>
      <xdr:spPr bwMode="auto">
        <a:xfrm>
          <a:off x="19149060" y="98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</xdr:row>
      <xdr:rowOff>0</xdr:rowOff>
    </xdr:from>
    <xdr:to>
      <xdr:col>26</xdr:col>
      <xdr:colOff>304800</xdr:colOff>
      <xdr:row>2</xdr:row>
      <xdr:rowOff>106680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45DD043-54F2-B920-97A2-E2CEB65743C1}"/>
            </a:ext>
          </a:extLst>
        </xdr:cNvPr>
        <xdr:cNvSpPr>
          <a:spLocks noChangeAspect="1" noChangeArrowheads="1"/>
        </xdr:cNvSpPr>
      </xdr:nvSpPr>
      <xdr:spPr bwMode="auto">
        <a:xfrm>
          <a:off x="1914906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5</xdr:row>
      <xdr:rowOff>0</xdr:rowOff>
    </xdr:from>
    <xdr:to>
      <xdr:col>25</xdr:col>
      <xdr:colOff>304800</xdr:colOff>
      <xdr:row>6</xdr:row>
      <xdr:rowOff>106680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91A7481-2EED-4300-AEE9-CD5FC08B1CEC}"/>
            </a:ext>
          </a:extLst>
        </xdr:cNvPr>
        <xdr:cNvSpPr>
          <a:spLocks noChangeAspect="1" noChangeArrowheads="1"/>
        </xdr:cNvSpPr>
      </xdr:nvSpPr>
      <xdr:spPr bwMode="auto">
        <a:xfrm>
          <a:off x="20010120" y="98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</xdr:row>
      <xdr:rowOff>0</xdr:rowOff>
    </xdr:from>
    <xdr:to>
      <xdr:col>25</xdr:col>
      <xdr:colOff>304800</xdr:colOff>
      <xdr:row>2</xdr:row>
      <xdr:rowOff>106680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9EB6F6E-C849-4776-B0A6-C1805DFB1B83}"/>
            </a:ext>
          </a:extLst>
        </xdr:cNvPr>
        <xdr:cNvSpPr>
          <a:spLocks noChangeAspect="1" noChangeArrowheads="1"/>
        </xdr:cNvSpPr>
      </xdr:nvSpPr>
      <xdr:spPr bwMode="auto">
        <a:xfrm>
          <a:off x="2001012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</xdr:row>
      <xdr:rowOff>0</xdr:rowOff>
    </xdr:from>
    <xdr:to>
      <xdr:col>26</xdr:col>
      <xdr:colOff>304800</xdr:colOff>
      <xdr:row>2</xdr:row>
      <xdr:rowOff>106680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174571D7-D819-88A7-B692-ADD582A92B81}"/>
            </a:ext>
          </a:extLst>
        </xdr:cNvPr>
        <xdr:cNvSpPr>
          <a:spLocks noChangeAspect="1" noChangeArrowheads="1"/>
        </xdr:cNvSpPr>
      </xdr:nvSpPr>
      <xdr:spPr bwMode="auto">
        <a:xfrm>
          <a:off x="2061972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304800</xdr:colOff>
      <xdr:row>5</xdr:row>
      <xdr:rowOff>99060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D697AB91-A272-B08C-6566-61EAFD1B70C1}"/>
            </a:ext>
          </a:extLst>
        </xdr:cNvPr>
        <xdr:cNvSpPr>
          <a:spLocks noChangeAspect="1" noChangeArrowheads="1"/>
        </xdr:cNvSpPr>
      </xdr:nvSpPr>
      <xdr:spPr bwMode="auto">
        <a:xfrm>
          <a:off x="19400520" y="77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BA26-F615-4480-BF64-6F81CB4D28F6}">
  <dimension ref="A1:V181"/>
  <sheetViews>
    <sheetView topLeftCell="A16" workbookViewId="0">
      <selection activeCell="L39" sqref="L39"/>
    </sheetView>
  </sheetViews>
  <sheetFormatPr defaultRowHeight="14.4" x14ac:dyDescent="0.3"/>
  <cols>
    <col min="2" max="3" width="8.88671875" style="2"/>
    <col min="5" max="9" width="8.88671875" style="2"/>
    <col min="10" max="10" width="10.44140625" style="2" bestFit="1" customWidth="1"/>
    <col min="14" max="14" width="31.77734375" style="2" bestFit="1" customWidth="1"/>
    <col min="15" max="15" width="21.44140625" style="2" bestFit="1" customWidth="1"/>
    <col min="16" max="16" width="17.77734375" style="2" customWidth="1"/>
    <col min="17" max="17" width="15.109375" style="2" customWidth="1"/>
    <col min="18" max="18" width="12" style="2" bestFit="1" customWidth="1"/>
    <col min="19" max="19" width="13.44140625" style="2" bestFit="1" customWidth="1"/>
    <col min="20" max="20" width="11.5546875" style="2" bestFit="1" customWidth="1"/>
    <col min="21" max="22" width="12.44140625" style="2" bestFit="1" customWidth="1"/>
  </cols>
  <sheetData>
    <row r="1" spans="1:22" x14ac:dyDescent="0.3">
      <c r="A1" s="11" t="s">
        <v>30</v>
      </c>
      <c r="B1" s="3" t="s">
        <v>0</v>
      </c>
      <c r="C1" s="3" t="s">
        <v>1</v>
      </c>
      <c r="D1" s="3" t="s">
        <v>31</v>
      </c>
      <c r="E1" s="3" t="s">
        <v>2</v>
      </c>
      <c r="G1" s="3" t="s">
        <v>32</v>
      </c>
      <c r="H1" s="3" t="s">
        <v>27</v>
      </c>
      <c r="I1" s="3" t="s">
        <v>28</v>
      </c>
      <c r="J1" s="3" t="s">
        <v>29</v>
      </c>
      <c r="K1" s="3" t="s">
        <v>2</v>
      </c>
    </row>
    <row r="2" spans="1:22" ht="15.6" x14ac:dyDescent="0.3">
      <c r="A2" s="8">
        <v>6</v>
      </c>
      <c r="B2" s="1">
        <v>125</v>
      </c>
      <c r="C2" s="1">
        <v>20</v>
      </c>
      <c r="D2" s="1">
        <v>251.5539</v>
      </c>
      <c r="E2" s="4">
        <v>1.9</v>
      </c>
      <c r="G2" s="1">
        <f>LN(A2+0.00001)</f>
        <v>1.7917611358933327</v>
      </c>
      <c r="H2" s="1">
        <f>LN(B2)</f>
        <v>4.8283137373023015</v>
      </c>
      <c r="I2" s="1">
        <f>LN(C2)</f>
        <v>2.9957322735539909</v>
      </c>
      <c r="J2" s="1">
        <f>LN(D2)</f>
        <v>5.5276572806931128</v>
      </c>
      <c r="K2" s="9">
        <f>E2</f>
        <v>1.9</v>
      </c>
    </row>
    <row r="3" spans="1:22" ht="15.6" x14ac:dyDescent="0.3">
      <c r="A3" s="8">
        <v>6</v>
      </c>
      <c r="B3" s="1">
        <v>125</v>
      </c>
      <c r="C3" s="1">
        <v>10</v>
      </c>
      <c r="D3" s="1">
        <v>487.13740000000001</v>
      </c>
      <c r="E3" s="4">
        <v>3.6</v>
      </c>
      <c r="G3" s="1">
        <f t="shared" ref="G3:G66" si="0">LN(A3+0.00001)</f>
        <v>1.7917611358933327</v>
      </c>
      <c r="H3" s="1">
        <f t="shared" ref="H3:H66" si="1">LN(B3)</f>
        <v>4.8283137373023015</v>
      </c>
      <c r="I3" s="1">
        <f t="shared" ref="I3:I66" si="2">LN(C3)</f>
        <v>2.3025850929940459</v>
      </c>
      <c r="J3" s="1">
        <f t="shared" ref="J3:J66" si="3">LN(D3)</f>
        <v>6.1885462188134612</v>
      </c>
      <c r="K3" s="9">
        <f t="shared" ref="K3:K66" si="4">E3</f>
        <v>3.6</v>
      </c>
    </row>
    <row r="4" spans="1:22" ht="15.6" x14ac:dyDescent="0.3">
      <c r="A4" s="8">
        <v>6</v>
      </c>
      <c r="B4" s="1">
        <v>100</v>
      </c>
      <c r="C4" s="1">
        <v>20</v>
      </c>
      <c r="D4" s="1">
        <v>374.52690000000001</v>
      </c>
      <c r="E4" s="4">
        <v>2.25</v>
      </c>
      <c r="G4" s="1">
        <f t="shared" si="0"/>
        <v>1.7917611358933327</v>
      </c>
      <c r="H4" s="1">
        <f t="shared" si="1"/>
        <v>4.6051701859880918</v>
      </c>
      <c r="I4" s="1">
        <f t="shared" si="2"/>
        <v>2.9957322735539909</v>
      </c>
      <c r="J4" s="1">
        <f t="shared" si="3"/>
        <v>5.9256636294831617</v>
      </c>
      <c r="K4" s="9">
        <f t="shared" si="4"/>
        <v>2.25</v>
      </c>
      <c r="N4" t="s">
        <v>3</v>
      </c>
      <c r="O4"/>
      <c r="P4"/>
      <c r="Q4"/>
      <c r="R4"/>
      <c r="S4"/>
      <c r="T4"/>
      <c r="U4"/>
      <c r="V4"/>
    </row>
    <row r="5" spans="1:22" ht="16.2" thickBot="1" x14ac:dyDescent="0.35">
      <c r="A5" s="8">
        <v>0</v>
      </c>
      <c r="B5" s="1">
        <v>150</v>
      </c>
      <c r="C5" s="1">
        <v>20</v>
      </c>
      <c r="D5" s="1">
        <v>258.6807</v>
      </c>
      <c r="E5" s="4">
        <v>18.8</v>
      </c>
      <c r="G5" s="1">
        <f t="shared" si="0"/>
        <v>-11.512925464970229</v>
      </c>
      <c r="H5" s="1">
        <f t="shared" si="1"/>
        <v>5.0106352940962555</v>
      </c>
      <c r="I5" s="1">
        <f t="shared" si="2"/>
        <v>2.9957322735539909</v>
      </c>
      <c r="J5" s="1">
        <f t="shared" si="3"/>
        <v>5.555594482620811</v>
      </c>
      <c r="K5" s="9">
        <f t="shared" si="4"/>
        <v>18.8</v>
      </c>
      <c r="N5"/>
      <c r="O5"/>
      <c r="P5"/>
      <c r="Q5"/>
      <c r="R5"/>
      <c r="S5"/>
      <c r="T5"/>
      <c r="U5"/>
      <c r="V5"/>
    </row>
    <row r="6" spans="1:22" ht="15.6" x14ac:dyDescent="0.3">
      <c r="A6" s="8">
        <v>6</v>
      </c>
      <c r="B6" s="1">
        <v>175</v>
      </c>
      <c r="C6" s="1">
        <v>25</v>
      </c>
      <c r="D6" s="1">
        <v>376.30520000000001</v>
      </c>
      <c r="E6" s="4">
        <v>2.8</v>
      </c>
      <c r="G6" s="1">
        <f t="shared" si="0"/>
        <v>1.7917611358933327</v>
      </c>
      <c r="H6" s="1">
        <f t="shared" si="1"/>
        <v>5.1647859739235145</v>
      </c>
      <c r="I6" s="1">
        <f t="shared" si="2"/>
        <v>3.2188758248682006</v>
      </c>
      <c r="J6" s="1">
        <f t="shared" si="3"/>
        <v>5.9304005162655393</v>
      </c>
      <c r="K6" s="9">
        <f t="shared" si="4"/>
        <v>2.8</v>
      </c>
      <c r="N6" s="14" t="s">
        <v>4</v>
      </c>
      <c r="O6" s="14"/>
      <c r="P6"/>
      <c r="Q6"/>
      <c r="R6"/>
      <c r="S6"/>
      <c r="T6"/>
      <c r="U6"/>
      <c r="V6"/>
    </row>
    <row r="7" spans="1:22" ht="15.6" x14ac:dyDescent="0.3">
      <c r="A7" s="8">
        <v>6</v>
      </c>
      <c r="B7" s="1">
        <v>175</v>
      </c>
      <c r="C7" s="1">
        <v>25</v>
      </c>
      <c r="D7" s="1">
        <v>248.23259999999999</v>
      </c>
      <c r="E7" s="4">
        <v>2.1</v>
      </c>
      <c r="G7" s="1">
        <f t="shared" si="0"/>
        <v>1.7917611358933327</v>
      </c>
      <c r="H7" s="1">
        <f t="shared" si="1"/>
        <v>5.1647859739235145</v>
      </c>
      <c r="I7" s="1">
        <f t="shared" si="2"/>
        <v>3.2188758248682006</v>
      </c>
      <c r="J7" s="1">
        <f t="shared" si="3"/>
        <v>5.5143662098343773</v>
      </c>
      <c r="K7" s="9">
        <f t="shared" si="4"/>
        <v>2.1</v>
      </c>
      <c r="N7" t="s">
        <v>5</v>
      </c>
      <c r="O7">
        <v>0.98225149460769645</v>
      </c>
      <c r="P7"/>
      <c r="Q7"/>
      <c r="R7"/>
      <c r="S7"/>
      <c r="T7"/>
      <c r="U7"/>
      <c r="V7"/>
    </row>
    <row r="8" spans="1:22" ht="15.6" x14ac:dyDescent="0.3">
      <c r="A8" s="8">
        <v>0</v>
      </c>
      <c r="B8" s="1">
        <v>200</v>
      </c>
      <c r="C8" s="1">
        <v>25</v>
      </c>
      <c r="D8" s="1">
        <v>361.7072</v>
      </c>
      <c r="E8" s="4">
        <v>22.25</v>
      </c>
      <c r="G8" s="1">
        <f t="shared" si="0"/>
        <v>-11.512925464970229</v>
      </c>
      <c r="H8" s="1">
        <f t="shared" si="1"/>
        <v>5.2983173665480363</v>
      </c>
      <c r="I8" s="1">
        <f t="shared" si="2"/>
        <v>3.2188758248682006</v>
      </c>
      <c r="J8" s="1">
        <f t="shared" si="3"/>
        <v>5.8908350447593776</v>
      </c>
      <c r="K8" s="9">
        <f t="shared" si="4"/>
        <v>22.25</v>
      </c>
      <c r="N8" t="s">
        <v>6</v>
      </c>
      <c r="O8">
        <v>0.96481799865905349</v>
      </c>
      <c r="P8"/>
      <c r="Q8"/>
      <c r="R8"/>
      <c r="S8"/>
      <c r="T8"/>
      <c r="U8"/>
      <c r="V8"/>
    </row>
    <row r="9" spans="1:22" ht="15.6" x14ac:dyDescent="0.3">
      <c r="A9" s="8">
        <v>3</v>
      </c>
      <c r="B9" s="1">
        <v>175</v>
      </c>
      <c r="C9" s="1">
        <v>15</v>
      </c>
      <c r="D9" s="1">
        <v>372.75940000000003</v>
      </c>
      <c r="E9" s="4">
        <v>6.4</v>
      </c>
      <c r="G9" s="1">
        <f t="shared" si="0"/>
        <v>1.0986156219958876</v>
      </c>
      <c r="H9" s="1">
        <f t="shared" si="1"/>
        <v>5.1647859739235145</v>
      </c>
      <c r="I9" s="1">
        <f t="shared" si="2"/>
        <v>2.7080502011022101</v>
      </c>
      <c r="J9" s="1">
        <f t="shared" si="3"/>
        <v>5.9209331713013942</v>
      </c>
      <c r="K9" s="9">
        <f t="shared" si="4"/>
        <v>6.4</v>
      </c>
      <c r="N9" t="s">
        <v>7</v>
      </c>
      <c r="O9">
        <v>0.96401383862840329</v>
      </c>
      <c r="P9"/>
      <c r="Q9"/>
      <c r="R9"/>
      <c r="S9"/>
      <c r="T9"/>
      <c r="U9"/>
      <c r="V9"/>
    </row>
    <row r="10" spans="1:22" ht="15.6" x14ac:dyDescent="0.3">
      <c r="A10" s="8">
        <v>0</v>
      </c>
      <c r="B10" s="1">
        <v>175</v>
      </c>
      <c r="C10" s="1">
        <v>15</v>
      </c>
      <c r="D10" s="1">
        <v>375.32780000000002</v>
      </c>
      <c r="E10" s="4">
        <v>23.9</v>
      </c>
      <c r="G10" s="1">
        <f t="shared" si="0"/>
        <v>-11.512925464970229</v>
      </c>
      <c r="H10" s="1">
        <f t="shared" si="1"/>
        <v>5.1647859739235145</v>
      </c>
      <c r="I10" s="1">
        <f t="shared" si="2"/>
        <v>2.7080502011022101</v>
      </c>
      <c r="J10" s="1">
        <f t="shared" si="3"/>
        <v>5.9277997774717006</v>
      </c>
      <c r="K10" s="9">
        <f t="shared" si="4"/>
        <v>23.9</v>
      </c>
      <c r="N10" t="s">
        <v>8</v>
      </c>
      <c r="O10">
        <v>1.6530717014708036</v>
      </c>
      <c r="P10"/>
      <c r="Q10"/>
      <c r="R10"/>
      <c r="S10"/>
      <c r="T10"/>
      <c r="U10"/>
      <c r="V10"/>
    </row>
    <row r="11" spans="1:22" ht="16.2" thickBot="1" x14ac:dyDescent="0.35">
      <c r="A11" s="8">
        <v>6</v>
      </c>
      <c r="B11" s="1">
        <v>200</v>
      </c>
      <c r="C11" s="1">
        <v>10</v>
      </c>
      <c r="D11" s="1">
        <v>507.02940000000001</v>
      </c>
      <c r="E11" s="4">
        <v>4.1500000000000004</v>
      </c>
      <c r="G11" s="1">
        <f t="shared" si="0"/>
        <v>1.7917611358933327</v>
      </c>
      <c r="H11" s="1">
        <f t="shared" si="1"/>
        <v>5.2983173665480363</v>
      </c>
      <c r="I11" s="1">
        <f t="shared" si="2"/>
        <v>2.3025850929940459</v>
      </c>
      <c r="J11" s="1">
        <f t="shared" si="3"/>
        <v>6.2285689900756154</v>
      </c>
      <c r="K11" s="9">
        <f t="shared" si="4"/>
        <v>4.1500000000000004</v>
      </c>
      <c r="N11" s="12" t="s">
        <v>9</v>
      </c>
      <c r="O11" s="12">
        <v>180</v>
      </c>
      <c r="P11"/>
      <c r="Q11"/>
      <c r="R11"/>
      <c r="S11"/>
      <c r="T11"/>
      <c r="U11"/>
      <c r="V11"/>
    </row>
    <row r="12" spans="1:22" ht="15.6" x14ac:dyDescent="0.3">
      <c r="A12" s="8">
        <v>6</v>
      </c>
      <c r="B12" s="1">
        <v>175</v>
      </c>
      <c r="C12" s="1">
        <v>15</v>
      </c>
      <c r="D12" s="1">
        <v>502.75060000000002</v>
      </c>
      <c r="E12" s="4">
        <v>3.7</v>
      </c>
      <c r="G12" s="1">
        <f t="shared" si="0"/>
        <v>1.7917611358933327</v>
      </c>
      <c r="H12" s="1">
        <f t="shared" si="1"/>
        <v>5.1647859739235145</v>
      </c>
      <c r="I12" s="1">
        <f t="shared" si="2"/>
        <v>2.7080502011022101</v>
      </c>
      <c r="J12" s="1">
        <f t="shared" si="3"/>
        <v>6.220094222088151</v>
      </c>
      <c r="K12" s="9">
        <f t="shared" si="4"/>
        <v>3.7</v>
      </c>
      <c r="N12"/>
      <c r="O12"/>
      <c r="P12"/>
      <c r="Q12"/>
      <c r="R12"/>
      <c r="S12"/>
      <c r="T12"/>
      <c r="U12"/>
      <c r="V12"/>
    </row>
    <row r="13" spans="1:22" ht="16.2" thickBot="1" x14ac:dyDescent="0.35">
      <c r="A13" s="8">
        <v>6</v>
      </c>
      <c r="B13" s="1">
        <v>100</v>
      </c>
      <c r="C13" s="1">
        <v>15</v>
      </c>
      <c r="D13" s="1">
        <v>258.06700000000001</v>
      </c>
      <c r="E13" s="5">
        <v>1.85</v>
      </c>
      <c r="G13" s="1">
        <f t="shared" si="0"/>
        <v>1.7917611358933327</v>
      </c>
      <c r="H13" s="1">
        <f t="shared" si="1"/>
        <v>4.6051701859880918</v>
      </c>
      <c r="I13" s="1">
        <f t="shared" si="2"/>
        <v>2.7080502011022101</v>
      </c>
      <c r="J13" s="1">
        <f t="shared" si="3"/>
        <v>5.553219241130507</v>
      </c>
      <c r="K13" s="9">
        <f t="shared" si="4"/>
        <v>1.85</v>
      </c>
      <c r="N13" t="s">
        <v>10</v>
      </c>
      <c r="O13"/>
      <c r="P13"/>
      <c r="Q13"/>
      <c r="R13"/>
      <c r="S13"/>
      <c r="T13"/>
      <c r="U13"/>
      <c r="V13"/>
    </row>
    <row r="14" spans="1:22" ht="15.6" x14ac:dyDescent="0.3">
      <c r="A14" s="8">
        <v>3</v>
      </c>
      <c r="B14" s="1">
        <v>150</v>
      </c>
      <c r="C14" s="1">
        <v>25</v>
      </c>
      <c r="D14" s="1">
        <v>254.1696</v>
      </c>
      <c r="E14" s="4">
        <v>5.2</v>
      </c>
      <c r="G14" s="1">
        <f t="shared" si="0"/>
        <v>1.0986156219958876</v>
      </c>
      <c r="H14" s="1">
        <f t="shared" si="1"/>
        <v>5.0106352940962555</v>
      </c>
      <c r="I14" s="1">
        <f t="shared" si="2"/>
        <v>3.2188758248682006</v>
      </c>
      <c r="J14" s="1">
        <f t="shared" si="3"/>
        <v>5.5380017607304666</v>
      </c>
      <c r="K14" s="9">
        <f t="shared" si="4"/>
        <v>5.2</v>
      </c>
      <c r="N14" s="13"/>
      <c r="O14" s="13" t="s">
        <v>11</v>
      </c>
      <c r="P14" s="13" t="s">
        <v>12</v>
      </c>
      <c r="Q14" s="13" t="s">
        <v>13</v>
      </c>
      <c r="R14" s="13" t="s">
        <v>14</v>
      </c>
      <c r="S14" s="13" t="s">
        <v>15</v>
      </c>
      <c r="T14"/>
      <c r="U14"/>
      <c r="V14"/>
    </row>
    <row r="15" spans="1:22" ht="15.6" x14ac:dyDescent="0.3">
      <c r="A15" s="8">
        <v>3</v>
      </c>
      <c r="B15" s="1">
        <v>175</v>
      </c>
      <c r="C15" s="1">
        <v>5</v>
      </c>
      <c r="D15" s="1">
        <v>251.67850000000001</v>
      </c>
      <c r="E15" s="4">
        <v>6.25</v>
      </c>
      <c r="G15" s="1">
        <f t="shared" si="0"/>
        <v>1.0986156219958876</v>
      </c>
      <c r="H15" s="1">
        <f t="shared" si="1"/>
        <v>5.1647859739235145</v>
      </c>
      <c r="I15" s="1">
        <f t="shared" si="2"/>
        <v>1.6094379124341003</v>
      </c>
      <c r="J15" s="1">
        <f t="shared" si="3"/>
        <v>5.5281524793430652</v>
      </c>
      <c r="K15" s="9">
        <f t="shared" si="4"/>
        <v>6.25</v>
      </c>
      <c r="N15" t="s">
        <v>16</v>
      </c>
      <c r="O15">
        <v>4</v>
      </c>
      <c r="P15">
        <v>13114.335419377803</v>
      </c>
      <c r="Q15">
        <v>3278.5838548444508</v>
      </c>
      <c r="R15">
        <v>1199.783577752487</v>
      </c>
      <c r="S15">
        <v>5.4276882626351792E-126</v>
      </c>
      <c r="T15"/>
      <c r="U15"/>
      <c r="V15"/>
    </row>
    <row r="16" spans="1:22" ht="15.6" x14ac:dyDescent="0.3">
      <c r="A16" s="8">
        <v>6</v>
      </c>
      <c r="B16" s="1">
        <v>200</v>
      </c>
      <c r="C16" s="1">
        <v>10</v>
      </c>
      <c r="D16" s="1">
        <v>378.01729999999998</v>
      </c>
      <c r="E16" s="4">
        <v>3.5</v>
      </c>
      <c r="G16" s="1">
        <f t="shared" si="0"/>
        <v>1.7917611358933327</v>
      </c>
      <c r="H16" s="1">
        <f t="shared" si="1"/>
        <v>5.2983173665480363</v>
      </c>
      <c r="I16" s="1">
        <f t="shared" si="2"/>
        <v>2.3025850929940459</v>
      </c>
      <c r="J16" s="1">
        <f t="shared" si="3"/>
        <v>5.9349399617680687</v>
      </c>
      <c r="K16" s="9">
        <f t="shared" si="4"/>
        <v>3.5</v>
      </c>
      <c r="N16" t="s">
        <v>17</v>
      </c>
      <c r="O16">
        <v>175</v>
      </c>
      <c r="P16">
        <v>478.21305878562612</v>
      </c>
      <c r="Q16">
        <v>2.7326460502035776</v>
      </c>
      <c r="R16"/>
      <c r="S16"/>
      <c r="T16"/>
      <c r="U16"/>
      <c r="V16"/>
    </row>
    <row r="17" spans="1:22" ht="16.2" thickBot="1" x14ac:dyDescent="0.35">
      <c r="A17" s="8">
        <v>6</v>
      </c>
      <c r="B17" s="1">
        <v>150</v>
      </c>
      <c r="C17" s="1">
        <v>10</v>
      </c>
      <c r="D17" s="1">
        <v>508.28840000000002</v>
      </c>
      <c r="E17" s="4">
        <v>3.85</v>
      </c>
      <c r="G17" s="1">
        <f t="shared" si="0"/>
        <v>1.7917611358933327</v>
      </c>
      <c r="H17" s="1">
        <f t="shared" si="1"/>
        <v>5.0106352940962555</v>
      </c>
      <c r="I17" s="1">
        <f t="shared" si="2"/>
        <v>2.3025850929940459</v>
      </c>
      <c r="J17" s="1">
        <f t="shared" si="3"/>
        <v>6.2310490030238492</v>
      </c>
      <c r="K17" s="9">
        <f t="shared" si="4"/>
        <v>3.85</v>
      </c>
      <c r="N17" s="12" t="s">
        <v>18</v>
      </c>
      <c r="O17" s="12">
        <v>179</v>
      </c>
      <c r="P17" s="12">
        <v>13592.54847816343</v>
      </c>
      <c r="Q17" s="12"/>
      <c r="R17" s="12"/>
      <c r="S17" s="12"/>
      <c r="T17"/>
      <c r="U17"/>
      <c r="V17"/>
    </row>
    <row r="18" spans="1:22" ht="16.2" thickBot="1" x14ac:dyDescent="0.35">
      <c r="A18" s="8">
        <v>6</v>
      </c>
      <c r="B18" s="1">
        <v>125</v>
      </c>
      <c r="C18" s="1">
        <v>25</v>
      </c>
      <c r="D18" s="1">
        <v>370.78609999999998</v>
      </c>
      <c r="E18" s="4">
        <v>2.4</v>
      </c>
      <c r="G18" s="1">
        <f t="shared" si="0"/>
        <v>1.7917611358933327</v>
      </c>
      <c r="H18" s="1">
        <f t="shared" si="1"/>
        <v>4.8283137373023015</v>
      </c>
      <c r="I18" s="1">
        <f t="shared" si="2"/>
        <v>3.2188758248682006</v>
      </c>
      <c r="J18" s="1">
        <f t="shared" si="3"/>
        <v>5.915625346473421</v>
      </c>
      <c r="K18" s="9">
        <f t="shared" si="4"/>
        <v>2.4</v>
      </c>
      <c r="N18"/>
      <c r="O18"/>
      <c r="P18"/>
      <c r="Q18"/>
      <c r="R18"/>
      <c r="S18"/>
      <c r="T18"/>
      <c r="U18"/>
      <c r="V18"/>
    </row>
    <row r="19" spans="1:22" ht="15.6" x14ac:dyDescent="0.3">
      <c r="A19" s="8">
        <v>3</v>
      </c>
      <c r="B19" s="1">
        <v>175</v>
      </c>
      <c r="C19" s="1">
        <v>10</v>
      </c>
      <c r="D19" s="1">
        <v>252.38</v>
      </c>
      <c r="E19" s="4">
        <v>5.86</v>
      </c>
      <c r="G19" s="1">
        <f t="shared" si="0"/>
        <v>1.0986156219958876</v>
      </c>
      <c r="H19" s="1">
        <f t="shared" si="1"/>
        <v>5.1647859739235145</v>
      </c>
      <c r="I19" s="1">
        <f t="shared" si="2"/>
        <v>2.3025850929940459</v>
      </c>
      <c r="J19" s="1">
        <f t="shared" si="3"/>
        <v>5.5309358882247643</v>
      </c>
      <c r="K19" s="9">
        <f t="shared" si="4"/>
        <v>5.86</v>
      </c>
      <c r="N19" s="13"/>
      <c r="O19" s="13" t="s">
        <v>19</v>
      </c>
      <c r="P19" s="13" t="s">
        <v>8</v>
      </c>
      <c r="Q19" s="13" t="s">
        <v>20</v>
      </c>
      <c r="R19" s="13" t="s">
        <v>21</v>
      </c>
      <c r="S19" s="13" t="s">
        <v>22</v>
      </c>
      <c r="T19" s="13" t="s">
        <v>23</v>
      </c>
      <c r="U19" s="13" t="s">
        <v>24</v>
      </c>
      <c r="V19" s="13" t="s">
        <v>25</v>
      </c>
    </row>
    <row r="20" spans="1:22" ht="15.6" x14ac:dyDescent="0.3">
      <c r="A20" s="8">
        <v>3</v>
      </c>
      <c r="B20" s="1">
        <v>150</v>
      </c>
      <c r="C20" s="1">
        <v>10</v>
      </c>
      <c r="D20" s="1">
        <v>491.7321</v>
      </c>
      <c r="E20" s="4">
        <v>7.1</v>
      </c>
      <c r="G20" s="1">
        <f t="shared" si="0"/>
        <v>1.0986156219958876</v>
      </c>
      <c r="H20" s="1">
        <f t="shared" si="1"/>
        <v>5.0106352940962555</v>
      </c>
      <c r="I20" s="1">
        <f t="shared" si="2"/>
        <v>2.3025850929940459</v>
      </c>
      <c r="J20" s="1">
        <f t="shared" si="3"/>
        <v>6.1979340559965843</v>
      </c>
      <c r="K20" s="9">
        <f t="shared" si="4"/>
        <v>7.1</v>
      </c>
      <c r="N20" t="s">
        <v>26</v>
      </c>
      <c r="O20">
        <v>-28.21527733016314</v>
      </c>
      <c r="P20">
        <v>3.6100658070540241</v>
      </c>
      <c r="Q20">
        <v>-7.8157238228263974</v>
      </c>
      <c r="R20">
        <v>4.8849007170197326E-13</v>
      </c>
      <c r="S20">
        <v>-35.340148195440364</v>
      </c>
      <c r="T20">
        <v>-21.09040646488592</v>
      </c>
      <c r="U20">
        <v>-35.340148195440364</v>
      </c>
      <c r="V20">
        <v>-21.09040646488592</v>
      </c>
    </row>
    <row r="21" spans="1:22" ht="15.6" x14ac:dyDescent="0.3">
      <c r="A21" s="8">
        <v>3</v>
      </c>
      <c r="B21" s="1">
        <v>200</v>
      </c>
      <c r="C21" s="1">
        <v>20</v>
      </c>
      <c r="D21" s="1">
        <v>258.36970000000002</v>
      </c>
      <c r="E21" s="4">
        <v>5.65</v>
      </c>
      <c r="G21" s="1">
        <f t="shared" si="0"/>
        <v>1.0986156219958876</v>
      </c>
      <c r="H21" s="1">
        <f t="shared" si="1"/>
        <v>5.2983173665480363</v>
      </c>
      <c r="I21" s="1">
        <f t="shared" si="2"/>
        <v>2.9957322735539909</v>
      </c>
      <c r="J21" s="1">
        <f t="shared" si="3"/>
        <v>5.5543915049710284</v>
      </c>
      <c r="K21" s="9">
        <f t="shared" si="4"/>
        <v>5.65</v>
      </c>
      <c r="N21" t="s">
        <v>32</v>
      </c>
      <c r="O21">
        <v>-1.3595377989181112</v>
      </c>
      <c r="P21">
        <v>2.0038786413859977E-2</v>
      </c>
      <c r="Q21">
        <v>-67.845316120430169</v>
      </c>
      <c r="R21">
        <v>1.3173633051052449E-127</v>
      </c>
      <c r="S21">
        <v>-1.3990865975069473</v>
      </c>
      <c r="T21">
        <v>-1.3199890003292751</v>
      </c>
      <c r="U21">
        <v>-1.3990865975069473</v>
      </c>
      <c r="V21">
        <v>-1.3199890003292751</v>
      </c>
    </row>
    <row r="22" spans="1:22" ht="15.6" x14ac:dyDescent="0.3">
      <c r="A22" s="8">
        <v>0</v>
      </c>
      <c r="B22" s="1">
        <v>200</v>
      </c>
      <c r="C22" s="1">
        <v>10</v>
      </c>
      <c r="D22" s="1">
        <v>510.89729999999997</v>
      </c>
      <c r="E22" s="4">
        <v>29.55</v>
      </c>
      <c r="G22" s="1">
        <f t="shared" si="0"/>
        <v>-11.512925464970229</v>
      </c>
      <c r="H22" s="1">
        <f t="shared" si="1"/>
        <v>5.2983173665480363</v>
      </c>
      <c r="I22" s="1">
        <f t="shared" si="2"/>
        <v>2.3025850929940459</v>
      </c>
      <c r="J22" s="1">
        <f t="shared" si="3"/>
        <v>6.2361685915312437</v>
      </c>
      <c r="K22" s="9">
        <f t="shared" si="4"/>
        <v>29.55</v>
      </c>
      <c r="N22" t="s">
        <v>27</v>
      </c>
      <c r="O22">
        <v>3.4031759635866958</v>
      </c>
      <c r="P22">
        <v>0.51149979078630603</v>
      </c>
      <c r="Q22">
        <v>6.6533281633510422</v>
      </c>
      <c r="R22">
        <v>3.5378472032197869E-10</v>
      </c>
      <c r="S22">
        <v>2.3936736022037834</v>
      </c>
      <c r="T22">
        <v>4.4126783249696082</v>
      </c>
      <c r="U22">
        <v>2.3936736022037834</v>
      </c>
      <c r="V22">
        <v>4.4126783249696082</v>
      </c>
    </row>
    <row r="23" spans="1:22" ht="15.6" x14ac:dyDescent="0.3">
      <c r="A23" s="8">
        <v>0</v>
      </c>
      <c r="B23" s="1">
        <v>100</v>
      </c>
      <c r="C23" s="1">
        <v>5</v>
      </c>
      <c r="D23" s="1">
        <v>379.30619999999999</v>
      </c>
      <c r="E23" s="4">
        <v>22.15</v>
      </c>
      <c r="G23" s="1">
        <f t="shared" si="0"/>
        <v>-11.512925464970229</v>
      </c>
      <c r="H23" s="1">
        <f t="shared" si="1"/>
        <v>4.6051701859880918</v>
      </c>
      <c r="I23" s="1">
        <f t="shared" si="2"/>
        <v>1.6094379124341003</v>
      </c>
      <c r="J23" s="1">
        <f t="shared" si="3"/>
        <v>5.9383437944616029</v>
      </c>
      <c r="K23" s="9">
        <f t="shared" si="4"/>
        <v>22.15</v>
      </c>
      <c r="N23" t="s">
        <v>28</v>
      </c>
      <c r="O23">
        <v>-1.49130454688217</v>
      </c>
      <c r="P23">
        <v>0.21327102783260243</v>
      </c>
      <c r="Q23">
        <v>-6.9925322817532578</v>
      </c>
      <c r="R23">
        <v>5.4785552619228496E-11</v>
      </c>
      <c r="S23">
        <v>-1.9122189051864136</v>
      </c>
      <c r="T23">
        <v>-1.0703901885779263</v>
      </c>
      <c r="U23">
        <v>-1.9122189051864136</v>
      </c>
      <c r="V23">
        <v>-1.0703901885779263</v>
      </c>
    </row>
    <row r="24" spans="1:22" ht="16.2" thickBot="1" x14ac:dyDescent="0.35">
      <c r="A24" s="8">
        <v>0</v>
      </c>
      <c r="B24" s="1">
        <v>125</v>
      </c>
      <c r="C24" s="1">
        <v>10</v>
      </c>
      <c r="D24" s="1">
        <v>244.32069999999999</v>
      </c>
      <c r="E24" s="4">
        <v>19.2</v>
      </c>
      <c r="G24" s="1">
        <f t="shared" si="0"/>
        <v>-11.512925464970229</v>
      </c>
      <c r="H24" s="1">
        <f t="shared" si="1"/>
        <v>4.8283137373023015</v>
      </c>
      <c r="I24" s="1">
        <f t="shared" si="2"/>
        <v>2.3025850929940459</v>
      </c>
      <c r="J24" s="1">
        <f t="shared" si="3"/>
        <v>5.4984817065611757</v>
      </c>
      <c r="K24" s="9">
        <f t="shared" si="4"/>
        <v>19.2</v>
      </c>
      <c r="N24" s="12" t="s">
        <v>29</v>
      </c>
      <c r="O24" s="12">
        <v>3.6847677434285724</v>
      </c>
      <c r="P24" s="12">
        <v>0.43585846919926358</v>
      </c>
      <c r="Q24" s="12">
        <v>8.4540464481464248</v>
      </c>
      <c r="R24" s="12">
        <v>1.0693947765651851E-14</v>
      </c>
      <c r="S24" s="12">
        <v>2.8245520369685462</v>
      </c>
      <c r="T24" s="12">
        <v>4.5449834498885986</v>
      </c>
      <c r="U24" s="12">
        <v>2.8245520369685462</v>
      </c>
      <c r="V24" s="12">
        <v>4.5449834498885986</v>
      </c>
    </row>
    <row r="25" spans="1:22" ht="15.6" x14ac:dyDescent="0.3">
      <c r="A25" s="8">
        <v>6</v>
      </c>
      <c r="B25" s="1">
        <v>175</v>
      </c>
      <c r="C25" s="1">
        <v>25</v>
      </c>
      <c r="D25" s="1">
        <v>492.9862</v>
      </c>
      <c r="E25" s="5">
        <v>3.35</v>
      </c>
      <c r="G25" s="1">
        <f t="shared" si="0"/>
        <v>1.7917611358933327</v>
      </c>
      <c r="H25" s="1">
        <f t="shared" si="1"/>
        <v>5.1647859739235145</v>
      </c>
      <c r="I25" s="1">
        <f t="shared" si="2"/>
        <v>3.2188758248682006</v>
      </c>
      <c r="J25" s="1">
        <f t="shared" si="3"/>
        <v>6.2004811817645002</v>
      </c>
      <c r="K25" s="9">
        <f t="shared" si="4"/>
        <v>3.35</v>
      </c>
      <c r="N25"/>
      <c r="O25"/>
      <c r="P25"/>
      <c r="Q25"/>
      <c r="R25"/>
      <c r="S25"/>
      <c r="T25"/>
      <c r="U25"/>
      <c r="V25"/>
    </row>
    <row r="26" spans="1:22" ht="15.6" x14ac:dyDescent="0.3">
      <c r="A26" s="8">
        <v>6</v>
      </c>
      <c r="B26" s="1">
        <v>200</v>
      </c>
      <c r="C26" s="1">
        <v>20</v>
      </c>
      <c r="D26" s="1">
        <v>508.34089999999998</v>
      </c>
      <c r="E26" s="4">
        <v>3.65</v>
      </c>
      <c r="G26" s="1">
        <f t="shared" si="0"/>
        <v>1.7917611358933327</v>
      </c>
      <c r="H26" s="1">
        <f t="shared" si="1"/>
        <v>5.2983173665480363</v>
      </c>
      <c r="I26" s="1">
        <f t="shared" si="2"/>
        <v>2.9957322735539909</v>
      </c>
      <c r="J26" s="1">
        <f t="shared" si="3"/>
        <v>6.2311522855085197</v>
      </c>
      <c r="K26" s="9">
        <f t="shared" si="4"/>
        <v>3.65</v>
      </c>
      <c r="N26"/>
      <c r="O26"/>
      <c r="P26"/>
      <c r="Q26"/>
      <c r="R26"/>
      <c r="S26"/>
      <c r="T26"/>
      <c r="U26"/>
      <c r="V26"/>
    </row>
    <row r="27" spans="1:22" ht="15.6" x14ac:dyDescent="0.3">
      <c r="A27" s="8">
        <v>6</v>
      </c>
      <c r="B27" s="1">
        <v>150</v>
      </c>
      <c r="C27" s="1">
        <v>20</v>
      </c>
      <c r="D27" s="1">
        <v>249.76259999999999</v>
      </c>
      <c r="E27" s="4">
        <v>2.1</v>
      </c>
      <c r="G27" s="1">
        <f t="shared" si="0"/>
        <v>1.7917611358933327</v>
      </c>
      <c r="H27" s="1">
        <f t="shared" si="1"/>
        <v>5.0106352940962555</v>
      </c>
      <c r="I27" s="1">
        <f t="shared" si="2"/>
        <v>2.9957322735539909</v>
      </c>
      <c r="J27" s="1">
        <f t="shared" si="3"/>
        <v>5.5205108667065321</v>
      </c>
      <c r="K27" s="9">
        <f t="shared" si="4"/>
        <v>2.1</v>
      </c>
      <c r="N27" s="1" t="s">
        <v>39</v>
      </c>
      <c r="O27" s="1" t="s">
        <v>40</v>
      </c>
      <c r="P27"/>
      <c r="Q27"/>
      <c r="R27"/>
      <c r="S27"/>
      <c r="T27"/>
      <c r="U27"/>
      <c r="V27"/>
    </row>
    <row r="28" spans="1:22" ht="15.6" x14ac:dyDescent="0.3">
      <c r="A28" s="8">
        <v>3</v>
      </c>
      <c r="B28" s="1">
        <v>100</v>
      </c>
      <c r="C28" s="1">
        <v>15</v>
      </c>
      <c r="D28" s="1">
        <v>247.1009</v>
      </c>
      <c r="E28" s="4">
        <v>4.95</v>
      </c>
      <c r="G28" s="1">
        <f t="shared" si="0"/>
        <v>1.0986156219958876</v>
      </c>
      <c r="H28" s="1">
        <f t="shared" si="1"/>
        <v>4.6051701859880918</v>
      </c>
      <c r="I28" s="1">
        <f t="shared" si="2"/>
        <v>2.7080502011022101</v>
      </c>
      <c r="J28" s="1">
        <f t="shared" si="3"/>
        <v>5.5097967552380327</v>
      </c>
      <c r="K28" s="9">
        <f t="shared" si="4"/>
        <v>4.95</v>
      </c>
      <c r="N28" s="15" t="s">
        <v>33</v>
      </c>
      <c r="O28" s="15">
        <v>0.55349999999999999</v>
      </c>
      <c r="Q28" s="16"/>
      <c r="T28" s="10"/>
    </row>
    <row r="29" spans="1:22" ht="15.6" x14ac:dyDescent="0.3">
      <c r="A29" s="8">
        <v>3</v>
      </c>
      <c r="B29" s="1">
        <v>125</v>
      </c>
      <c r="C29" s="1">
        <v>5</v>
      </c>
      <c r="D29" s="1">
        <v>247.9093</v>
      </c>
      <c r="E29" s="5">
        <v>5.9368831169999998</v>
      </c>
      <c r="G29" s="1">
        <f t="shared" si="0"/>
        <v>1.0986156219958876</v>
      </c>
      <c r="H29" s="1">
        <f t="shared" si="1"/>
        <v>4.8283137373023015</v>
      </c>
      <c r="I29" s="1">
        <f t="shared" si="2"/>
        <v>1.6094379124341003</v>
      </c>
      <c r="J29" s="1">
        <f t="shared" si="3"/>
        <v>5.5130629534645372</v>
      </c>
      <c r="K29" s="9">
        <f t="shared" si="4"/>
        <v>5.9368831169999998</v>
      </c>
      <c r="N29" s="15" t="s">
        <v>34</v>
      </c>
      <c r="O29" s="15">
        <v>5.6300000000000003E-2</v>
      </c>
    </row>
    <row r="30" spans="1:22" ht="15.6" x14ac:dyDescent="0.3">
      <c r="A30" s="8">
        <v>6</v>
      </c>
      <c r="B30" s="1">
        <v>175</v>
      </c>
      <c r="C30" s="1">
        <v>10</v>
      </c>
      <c r="D30" s="1">
        <v>516.83720000000005</v>
      </c>
      <c r="E30" s="4">
        <v>4.05</v>
      </c>
      <c r="G30" s="1">
        <f t="shared" si="0"/>
        <v>1.7917611358933327</v>
      </c>
      <c r="H30" s="1">
        <f t="shared" si="1"/>
        <v>5.1647859739235145</v>
      </c>
      <c r="I30" s="1">
        <f t="shared" si="2"/>
        <v>2.3025850929940459</v>
      </c>
      <c r="J30" s="1">
        <f t="shared" si="3"/>
        <v>6.247727931302002</v>
      </c>
      <c r="K30" s="9">
        <f t="shared" si="4"/>
        <v>4.05</v>
      </c>
      <c r="N30" s="15" t="s">
        <v>35</v>
      </c>
      <c r="O30" s="15">
        <v>0.33460000000000001</v>
      </c>
    </row>
    <row r="31" spans="1:22" ht="15.6" x14ac:dyDescent="0.3">
      <c r="A31" s="8">
        <v>3</v>
      </c>
      <c r="B31" s="1">
        <v>100</v>
      </c>
      <c r="C31" s="1">
        <v>15</v>
      </c>
      <c r="D31" s="1">
        <v>371.82889999999998</v>
      </c>
      <c r="E31" s="4">
        <v>5.7</v>
      </c>
      <c r="G31" s="1">
        <f t="shared" si="0"/>
        <v>1.0986156219958876</v>
      </c>
      <c r="H31" s="1">
        <f t="shared" si="1"/>
        <v>4.6051701859880918</v>
      </c>
      <c r="I31" s="1">
        <f t="shared" si="2"/>
        <v>2.7080502011022101</v>
      </c>
      <c r="J31" s="1">
        <f t="shared" si="3"/>
        <v>5.9184338022288721</v>
      </c>
      <c r="K31" s="9">
        <f t="shared" si="4"/>
        <v>5.7</v>
      </c>
      <c r="N31" s="15" t="s">
        <v>36</v>
      </c>
      <c r="O31" s="1">
        <v>1.6496999999999999</v>
      </c>
    </row>
    <row r="32" spans="1:22" ht="15.6" x14ac:dyDescent="0.3">
      <c r="A32" s="8">
        <v>3</v>
      </c>
      <c r="B32" s="1">
        <v>175</v>
      </c>
      <c r="C32" s="1">
        <v>10</v>
      </c>
      <c r="D32" s="1">
        <v>371.37709999999998</v>
      </c>
      <c r="E32" s="4">
        <v>6.7</v>
      </c>
      <c r="G32" s="1">
        <f t="shared" si="0"/>
        <v>1.0986156219958876</v>
      </c>
      <c r="H32" s="1">
        <f t="shared" si="1"/>
        <v>5.1647859739235145</v>
      </c>
      <c r="I32" s="1">
        <f t="shared" si="2"/>
        <v>2.3025850929940459</v>
      </c>
      <c r="J32" s="1">
        <f t="shared" si="3"/>
        <v>5.9172179884285141</v>
      </c>
      <c r="K32" s="9">
        <f t="shared" si="4"/>
        <v>6.7</v>
      </c>
      <c r="N32" s="15" t="s">
        <v>37</v>
      </c>
      <c r="O32" s="15" t="s">
        <v>38</v>
      </c>
      <c r="Q32" s="16"/>
    </row>
    <row r="33" spans="1:11" ht="15.6" x14ac:dyDescent="0.3">
      <c r="A33" s="8">
        <v>3</v>
      </c>
      <c r="B33" s="1">
        <v>100</v>
      </c>
      <c r="C33" s="1">
        <v>5</v>
      </c>
      <c r="D33" s="1">
        <v>244.2038</v>
      </c>
      <c r="E33" s="4">
        <v>5.7</v>
      </c>
      <c r="G33" s="1">
        <f t="shared" si="0"/>
        <v>1.0986156219958876</v>
      </c>
      <c r="H33" s="1">
        <f t="shared" si="1"/>
        <v>4.6051701859880918</v>
      </c>
      <c r="I33" s="1">
        <f t="shared" si="2"/>
        <v>1.6094379124341003</v>
      </c>
      <c r="J33" s="1">
        <f t="shared" si="3"/>
        <v>5.4980031225710944</v>
      </c>
      <c r="K33" s="9">
        <f t="shared" si="4"/>
        <v>5.7</v>
      </c>
    </row>
    <row r="34" spans="1:11" ht="15.6" x14ac:dyDescent="0.3">
      <c r="A34" s="8">
        <v>3</v>
      </c>
      <c r="B34" s="1">
        <v>175</v>
      </c>
      <c r="C34" s="1">
        <v>15</v>
      </c>
      <c r="D34" s="1">
        <v>512.66189999999995</v>
      </c>
      <c r="E34" s="4">
        <v>7.1</v>
      </c>
      <c r="G34" s="1">
        <f t="shared" si="0"/>
        <v>1.0986156219958876</v>
      </c>
      <c r="H34" s="1">
        <f t="shared" si="1"/>
        <v>5.1647859739235145</v>
      </c>
      <c r="I34" s="1">
        <f t="shared" si="2"/>
        <v>2.7080502011022101</v>
      </c>
      <c r="J34" s="1">
        <f t="shared" si="3"/>
        <v>6.2396165635649181</v>
      </c>
      <c r="K34" s="9">
        <f t="shared" si="4"/>
        <v>7.1</v>
      </c>
    </row>
    <row r="35" spans="1:11" ht="15.6" x14ac:dyDescent="0.3">
      <c r="A35" s="8">
        <v>0</v>
      </c>
      <c r="B35" s="1">
        <v>125</v>
      </c>
      <c r="C35" s="1">
        <v>10</v>
      </c>
      <c r="D35" s="1">
        <v>369.03179999999998</v>
      </c>
      <c r="E35" s="4">
        <v>22.4</v>
      </c>
      <c r="G35" s="1">
        <f t="shared" si="0"/>
        <v>-11.512925464970229</v>
      </c>
      <c r="H35" s="1">
        <f t="shared" si="1"/>
        <v>4.8283137373023015</v>
      </c>
      <c r="I35" s="1">
        <f t="shared" si="2"/>
        <v>2.3025850929940459</v>
      </c>
      <c r="J35" s="1">
        <f t="shared" si="3"/>
        <v>5.9108828191891307</v>
      </c>
      <c r="K35" s="9">
        <f t="shared" si="4"/>
        <v>22.4</v>
      </c>
    </row>
    <row r="36" spans="1:11" ht="15.6" x14ac:dyDescent="0.3">
      <c r="A36" s="8">
        <v>3</v>
      </c>
      <c r="B36" s="1">
        <v>125</v>
      </c>
      <c r="C36" s="1">
        <v>20</v>
      </c>
      <c r="D36" s="1">
        <v>375.03800000000001</v>
      </c>
      <c r="E36" s="4">
        <v>5.8</v>
      </c>
      <c r="G36" s="1">
        <f t="shared" si="0"/>
        <v>1.0986156219958876</v>
      </c>
      <c r="H36" s="1">
        <f t="shared" si="1"/>
        <v>4.8283137373023015</v>
      </c>
      <c r="I36" s="1">
        <f t="shared" si="2"/>
        <v>2.9957322735539909</v>
      </c>
      <c r="J36" s="1">
        <f t="shared" si="3"/>
        <v>5.9270273541698684</v>
      </c>
      <c r="K36" s="9">
        <f t="shared" si="4"/>
        <v>5.8</v>
      </c>
    </row>
    <row r="37" spans="1:11" ht="15.6" x14ac:dyDescent="0.3">
      <c r="A37" s="8">
        <v>6</v>
      </c>
      <c r="B37" s="1">
        <v>100</v>
      </c>
      <c r="C37" s="1">
        <v>15</v>
      </c>
      <c r="D37" s="1">
        <v>504.34679999999997</v>
      </c>
      <c r="E37" s="4">
        <v>3</v>
      </c>
      <c r="G37" s="1">
        <f t="shared" si="0"/>
        <v>1.7917611358933327</v>
      </c>
      <c r="H37" s="1">
        <f t="shared" si="1"/>
        <v>4.6051701859880918</v>
      </c>
      <c r="I37" s="1">
        <f t="shared" si="2"/>
        <v>2.7080502011022101</v>
      </c>
      <c r="J37" s="1">
        <f t="shared" si="3"/>
        <v>6.223264126680478</v>
      </c>
      <c r="K37" s="9">
        <f t="shared" si="4"/>
        <v>3</v>
      </c>
    </row>
    <row r="38" spans="1:11" ht="15.6" x14ac:dyDescent="0.3">
      <c r="A38" s="8">
        <v>6</v>
      </c>
      <c r="B38" s="1">
        <v>100</v>
      </c>
      <c r="C38" s="1">
        <v>5</v>
      </c>
      <c r="D38" s="1">
        <v>497.59629999999999</v>
      </c>
      <c r="E38" s="4">
        <v>3.9</v>
      </c>
      <c r="G38" s="1">
        <f t="shared" si="0"/>
        <v>1.7917611358933327</v>
      </c>
      <c r="H38" s="1">
        <f t="shared" si="1"/>
        <v>4.6051701859880918</v>
      </c>
      <c r="I38" s="1">
        <f t="shared" si="2"/>
        <v>1.6094379124341003</v>
      </c>
      <c r="J38" s="1">
        <f t="shared" si="3"/>
        <v>6.2097891057060064</v>
      </c>
      <c r="K38" s="9">
        <f t="shared" si="4"/>
        <v>3.9</v>
      </c>
    </row>
    <row r="39" spans="1:11" ht="15.6" x14ac:dyDescent="0.3">
      <c r="A39" s="8">
        <v>6</v>
      </c>
      <c r="B39" s="1">
        <v>175</v>
      </c>
      <c r="C39" s="1">
        <v>20</v>
      </c>
      <c r="D39" s="1">
        <v>252.61439999999999</v>
      </c>
      <c r="E39" s="4">
        <v>2.25</v>
      </c>
      <c r="G39" s="1">
        <f t="shared" si="0"/>
        <v>1.7917611358933327</v>
      </c>
      <c r="H39" s="1">
        <f t="shared" si="1"/>
        <v>5.1647859739235145</v>
      </c>
      <c r="I39" s="1">
        <f t="shared" si="2"/>
        <v>2.9957322735539909</v>
      </c>
      <c r="J39" s="1">
        <f t="shared" si="3"/>
        <v>5.5318642154174373</v>
      </c>
      <c r="K39" s="9">
        <f t="shared" si="4"/>
        <v>2.25</v>
      </c>
    </row>
    <row r="40" spans="1:11" ht="15.6" x14ac:dyDescent="0.3">
      <c r="A40" s="8">
        <v>0</v>
      </c>
      <c r="B40" s="1">
        <v>200</v>
      </c>
      <c r="C40" s="1">
        <v>20</v>
      </c>
      <c r="D40" s="1">
        <v>495.76209999999998</v>
      </c>
      <c r="E40" s="4">
        <v>26.35</v>
      </c>
      <c r="G40" s="1">
        <f t="shared" si="0"/>
        <v>-11.512925464970229</v>
      </c>
      <c r="H40" s="1">
        <f t="shared" si="1"/>
        <v>5.2983173665480363</v>
      </c>
      <c r="I40" s="1">
        <f t="shared" si="2"/>
        <v>2.9957322735539909</v>
      </c>
      <c r="J40" s="1">
        <f t="shared" si="3"/>
        <v>6.206096174565487</v>
      </c>
      <c r="K40" s="9">
        <f t="shared" si="4"/>
        <v>26.35</v>
      </c>
    </row>
    <row r="41" spans="1:11" ht="15.6" x14ac:dyDescent="0.3">
      <c r="A41" s="8">
        <v>0</v>
      </c>
      <c r="B41" s="1">
        <v>200</v>
      </c>
      <c r="C41" s="1">
        <v>15</v>
      </c>
      <c r="D41" s="1">
        <v>256.55130000000003</v>
      </c>
      <c r="E41" s="4">
        <v>21.6</v>
      </c>
      <c r="G41" s="1">
        <f t="shared" si="0"/>
        <v>-11.512925464970229</v>
      </c>
      <c r="H41" s="1">
        <f t="shared" si="1"/>
        <v>5.2983173665480363</v>
      </c>
      <c r="I41" s="1">
        <f t="shared" si="2"/>
        <v>2.7080502011022101</v>
      </c>
      <c r="J41" s="1">
        <f t="shared" si="3"/>
        <v>5.5473286446134908</v>
      </c>
      <c r="K41" s="9">
        <f t="shared" si="4"/>
        <v>21.6</v>
      </c>
    </row>
    <row r="42" spans="1:11" ht="15.6" x14ac:dyDescent="0.3">
      <c r="A42" s="8">
        <v>6</v>
      </c>
      <c r="B42" s="1">
        <v>100</v>
      </c>
      <c r="C42" s="1">
        <v>25</v>
      </c>
      <c r="D42" s="1">
        <v>260.75029999999998</v>
      </c>
      <c r="E42" s="4">
        <v>1.5</v>
      </c>
      <c r="G42" s="1">
        <f t="shared" si="0"/>
        <v>1.7917611358933327</v>
      </c>
      <c r="H42" s="1">
        <f t="shared" si="1"/>
        <v>4.6051701859880918</v>
      </c>
      <c r="I42" s="1">
        <f t="shared" si="2"/>
        <v>3.2188758248682006</v>
      </c>
      <c r="J42" s="1">
        <f t="shared" si="3"/>
        <v>5.5635632444075451</v>
      </c>
      <c r="K42" s="9">
        <f t="shared" si="4"/>
        <v>1.5</v>
      </c>
    </row>
    <row r="43" spans="1:11" ht="15.6" x14ac:dyDescent="0.3">
      <c r="A43" s="8">
        <v>0</v>
      </c>
      <c r="B43" s="1">
        <v>100</v>
      </c>
      <c r="C43" s="1">
        <v>15</v>
      </c>
      <c r="D43" s="1">
        <v>500.1585</v>
      </c>
      <c r="E43" s="4">
        <v>21.5</v>
      </c>
      <c r="G43" s="1">
        <f t="shared" si="0"/>
        <v>-11.512925464970229</v>
      </c>
      <c r="H43" s="1">
        <f t="shared" si="1"/>
        <v>4.6051701859880918</v>
      </c>
      <c r="I43" s="1">
        <f t="shared" si="2"/>
        <v>2.7080502011022101</v>
      </c>
      <c r="J43" s="1">
        <f t="shared" si="3"/>
        <v>6.2149250481883076</v>
      </c>
      <c r="K43" s="9">
        <f t="shared" si="4"/>
        <v>21.5</v>
      </c>
    </row>
    <row r="44" spans="1:11" ht="15.6" x14ac:dyDescent="0.3">
      <c r="A44" s="8">
        <v>3</v>
      </c>
      <c r="B44" s="1">
        <v>125</v>
      </c>
      <c r="C44" s="1">
        <v>25</v>
      </c>
      <c r="D44" s="1">
        <v>517.68510000000003</v>
      </c>
      <c r="E44" s="4">
        <v>6.2</v>
      </c>
      <c r="G44" s="1">
        <f t="shared" si="0"/>
        <v>1.0986156219958876</v>
      </c>
      <c r="H44" s="1">
        <f t="shared" si="1"/>
        <v>4.8283137373023015</v>
      </c>
      <c r="I44" s="1">
        <f t="shared" si="2"/>
        <v>3.2188758248682006</v>
      </c>
      <c r="J44" s="1">
        <f t="shared" si="3"/>
        <v>6.249367142346288</v>
      </c>
      <c r="K44" s="9">
        <f t="shared" si="4"/>
        <v>6.2</v>
      </c>
    </row>
    <row r="45" spans="1:11" ht="15.6" x14ac:dyDescent="0.3">
      <c r="A45" s="8">
        <v>6</v>
      </c>
      <c r="B45" s="1">
        <v>125</v>
      </c>
      <c r="C45" s="1">
        <v>20</v>
      </c>
      <c r="D45" s="1">
        <v>369.26400000000001</v>
      </c>
      <c r="E45" s="4">
        <v>2.5499999999999998</v>
      </c>
      <c r="G45" s="1">
        <f t="shared" si="0"/>
        <v>1.7917611358933327</v>
      </c>
      <c r="H45" s="1">
        <f t="shared" si="1"/>
        <v>4.8283137373023015</v>
      </c>
      <c r="I45" s="1">
        <f t="shared" si="2"/>
        <v>2.9957322735539909</v>
      </c>
      <c r="J45" s="1">
        <f t="shared" si="3"/>
        <v>5.9115118353846885</v>
      </c>
      <c r="K45" s="9">
        <f t="shared" si="4"/>
        <v>2.5499999999999998</v>
      </c>
    </row>
    <row r="46" spans="1:11" ht="15.6" x14ac:dyDescent="0.3">
      <c r="A46" s="8">
        <v>6</v>
      </c>
      <c r="B46" s="1">
        <v>125</v>
      </c>
      <c r="C46" s="1">
        <v>20</v>
      </c>
      <c r="D46" s="1">
        <v>502.25470000000001</v>
      </c>
      <c r="E46" s="4">
        <v>3.1</v>
      </c>
      <c r="G46" s="1">
        <f t="shared" si="0"/>
        <v>1.7917611358933327</v>
      </c>
      <c r="H46" s="1">
        <f t="shared" si="1"/>
        <v>4.8283137373023015</v>
      </c>
      <c r="I46" s="1">
        <f t="shared" si="2"/>
        <v>2.9957322735539909</v>
      </c>
      <c r="J46" s="1">
        <f t="shared" si="3"/>
        <v>6.2191073615407566</v>
      </c>
      <c r="K46" s="9">
        <f t="shared" si="4"/>
        <v>3.1</v>
      </c>
    </row>
    <row r="47" spans="1:11" ht="15.6" x14ac:dyDescent="0.3">
      <c r="A47" s="8">
        <v>6</v>
      </c>
      <c r="B47" s="1">
        <v>175</v>
      </c>
      <c r="C47" s="1">
        <v>5</v>
      </c>
      <c r="D47" s="1">
        <v>249.0489</v>
      </c>
      <c r="E47" s="4">
        <v>2.95</v>
      </c>
      <c r="G47" s="1">
        <f t="shared" si="0"/>
        <v>1.7917611358933327</v>
      </c>
      <c r="H47" s="1">
        <f t="shared" si="1"/>
        <v>5.1647859739235145</v>
      </c>
      <c r="I47" s="1">
        <f t="shared" si="2"/>
        <v>1.6094379124341003</v>
      </c>
      <c r="J47" s="1">
        <f t="shared" si="3"/>
        <v>5.5176492627257598</v>
      </c>
      <c r="K47" s="9">
        <f t="shared" si="4"/>
        <v>2.95</v>
      </c>
    </row>
    <row r="48" spans="1:11" ht="15.6" x14ac:dyDescent="0.3">
      <c r="A48" s="8">
        <v>0</v>
      </c>
      <c r="B48" s="1">
        <v>125</v>
      </c>
      <c r="C48" s="1">
        <v>20</v>
      </c>
      <c r="D48" s="1">
        <v>363.2045</v>
      </c>
      <c r="E48" s="6">
        <v>19.399999999999999</v>
      </c>
      <c r="G48" s="1">
        <f t="shared" si="0"/>
        <v>-11.512925464970229</v>
      </c>
      <c r="H48" s="1">
        <f t="shared" si="1"/>
        <v>4.8283137373023015</v>
      </c>
      <c r="I48" s="1">
        <f t="shared" si="2"/>
        <v>2.9957322735539909</v>
      </c>
      <c r="J48" s="1">
        <f t="shared" si="3"/>
        <v>5.8949660365182259</v>
      </c>
      <c r="K48" s="9">
        <f t="shared" si="4"/>
        <v>19.399999999999999</v>
      </c>
    </row>
    <row r="49" spans="1:11" ht="15.6" x14ac:dyDescent="0.3">
      <c r="A49" s="8">
        <v>0</v>
      </c>
      <c r="B49" s="1">
        <v>175</v>
      </c>
      <c r="C49" s="1">
        <v>20</v>
      </c>
      <c r="D49" s="1">
        <v>502.07049999999998</v>
      </c>
      <c r="E49" s="4">
        <v>25.3</v>
      </c>
      <c r="G49" s="1">
        <f t="shared" si="0"/>
        <v>-11.512925464970229</v>
      </c>
      <c r="H49" s="1">
        <f t="shared" si="1"/>
        <v>5.1647859739235145</v>
      </c>
      <c r="I49" s="1">
        <f t="shared" si="2"/>
        <v>2.9957322735539909</v>
      </c>
      <c r="J49" s="1">
        <f t="shared" si="3"/>
        <v>6.2187405480782134</v>
      </c>
      <c r="K49" s="9">
        <f t="shared" si="4"/>
        <v>25.3</v>
      </c>
    </row>
    <row r="50" spans="1:11" ht="15.6" x14ac:dyDescent="0.3">
      <c r="A50" s="8">
        <v>6</v>
      </c>
      <c r="B50" s="1">
        <v>100</v>
      </c>
      <c r="C50" s="1">
        <v>25</v>
      </c>
      <c r="D50" s="1">
        <v>508.26060000000001</v>
      </c>
      <c r="E50" s="4">
        <v>2.5499999999999998</v>
      </c>
      <c r="G50" s="1">
        <f t="shared" si="0"/>
        <v>1.7917611358933327</v>
      </c>
      <c r="H50" s="1">
        <f t="shared" si="1"/>
        <v>4.6051701859880918</v>
      </c>
      <c r="I50" s="1">
        <f t="shared" si="2"/>
        <v>3.2188758248682006</v>
      </c>
      <c r="J50" s="1">
        <f t="shared" si="3"/>
        <v>6.230994308168988</v>
      </c>
      <c r="K50" s="9">
        <f t="shared" si="4"/>
        <v>2.5499999999999998</v>
      </c>
    </row>
    <row r="51" spans="1:11" ht="15.6" x14ac:dyDescent="0.3">
      <c r="A51" s="8">
        <v>6</v>
      </c>
      <c r="B51" s="1">
        <v>175</v>
      </c>
      <c r="C51" s="1">
        <v>20</v>
      </c>
      <c r="D51" s="1">
        <v>372.71440000000001</v>
      </c>
      <c r="E51" s="4">
        <v>2.95</v>
      </c>
      <c r="G51" s="1">
        <f t="shared" si="0"/>
        <v>1.7917611358933327</v>
      </c>
      <c r="H51" s="1">
        <f t="shared" si="1"/>
        <v>5.1647859739235145</v>
      </c>
      <c r="I51" s="1">
        <f t="shared" si="2"/>
        <v>2.9957322735539909</v>
      </c>
      <c r="J51" s="1">
        <f t="shared" si="3"/>
        <v>5.9208124427122613</v>
      </c>
      <c r="K51" s="9">
        <f t="shared" si="4"/>
        <v>2.95</v>
      </c>
    </row>
    <row r="52" spans="1:11" ht="15.6" x14ac:dyDescent="0.3">
      <c r="A52" s="8">
        <v>0</v>
      </c>
      <c r="B52" s="1">
        <v>150</v>
      </c>
      <c r="C52" s="1">
        <v>15</v>
      </c>
      <c r="D52" s="1">
        <v>500.32530000000003</v>
      </c>
      <c r="E52" s="4">
        <v>25</v>
      </c>
      <c r="G52" s="1">
        <f t="shared" si="0"/>
        <v>-11.512925464970229</v>
      </c>
      <c r="H52" s="1">
        <f t="shared" si="1"/>
        <v>5.0106352940962555</v>
      </c>
      <c r="I52" s="1">
        <f t="shared" si="2"/>
        <v>2.7080502011022101</v>
      </c>
      <c r="J52" s="1">
        <f t="shared" si="3"/>
        <v>6.2152584868737621</v>
      </c>
      <c r="K52" s="9">
        <f t="shared" si="4"/>
        <v>25</v>
      </c>
    </row>
    <row r="53" spans="1:11" ht="15.6" x14ac:dyDescent="0.3">
      <c r="A53" s="8">
        <v>3</v>
      </c>
      <c r="B53" s="1">
        <v>175</v>
      </c>
      <c r="C53" s="1">
        <v>5</v>
      </c>
      <c r="D53" s="1">
        <v>490.4529</v>
      </c>
      <c r="E53" s="4">
        <v>7.9</v>
      </c>
      <c r="G53" s="1">
        <f t="shared" si="0"/>
        <v>1.0986156219958876</v>
      </c>
      <c r="H53" s="1">
        <f t="shared" si="1"/>
        <v>5.1647859739235145</v>
      </c>
      <c r="I53" s="1">
        <f t="shared" si="2"/>
        <v>1.6094379124341003</v>
      </c>
      <c r="J53" s="1">
        <f t="shared" si="3"/>
        <v>6.1953292499299417</v>
      </c>
      <c r="K53" s="9">
        <f t="shared" si="4"/>
        <v>7.9</v>
      </c>
    </row>
    <row r="54" spans="1:11" ht="15.6" x14ac:dyDescent="0.3">
      <c r="A54" s="8">
        <v>3</v>
      </c>
      <c r="B54" s="1">
        <v>200</v>
      </c>
      <c r="C54" s="1">
        <v>10</v>
      </c>
      <c r="D54" s="1">
        <v>250.29570000000001</v>
      </c>
      <c r="E54" s="4">
        <v>5.95</v>
      </c>
      <c r="G54" s="1">
        <f t="shared" si="0"/>
        <v>1.0986156219958876</v>
      </c>
      <c r="H54" s="1">
        <f t="shared" si="1"/>
        <v>5.2983173665480363</v>
      </c>
      <c r="I54" s="1">
        <f t="shared" si="2"/>
        <v>2.3025850929940459</v>
      </c>
      <c r="J54" s="1">
        <f t="shared" si="3"/>
        <v>5.5226430189054225</v>
      </c>
      <c r="K54" s="9">
        <f t="shared" si="4"/>
        <v>5.95</v>
      </c>
    </row>
    <row r="55" spans="1:11" ht="15.6" x14ac:dyDescent="0.3">
      <c r="A55" s="8">
        <v>6</v>
      </c>
      <c r="B55" s="1">
        <v>125</v>
      </c>
      <c r="C55" s="1">
        <v>25</v>
      </c>
      <c r="D55" s="1">
        <v>503.14150000000001</v>
      </c>
      <c r="E55" s="4">
        <v>2.95</v>
      </c>
      <c r="G55" s="1">
        <f t="shared" si="0"/>
        <v>1.7917611358933327</v>
      </c>
      <c r="H55" s="1">
        <f t="shared" si="1"/>
        <v>4.8283137373023015</v>
      </c>
      <c r="I55" s="1">
        <f t="shared" si="2"/>
        <v>3.2188758248682006</v>
      </c>
      <c r="J55" s="1">
        <f t="shared" si="3"/>
        <v>6.2208714426661382</v>
      </c>
      <c r="K55" s="9">
        <f t="shared" si="4"/>
        <v>2.95</v>
      </c>
    </row>
    <row r="56" spans="1:11" ht="15.6" x14ac:dyDescent="0.3">
      <c r="A56" s="8">
        <v>6</v>
      </c>
      <c r="B56" s="1">
        <v>150</v>
      </c>
      <c r="C56" s="1">
        <v>20</v>
      </c>
      <c r="D56" s="1">
        <v>490.22089999999997</v>
      </c>
      <c r="E56" s="4">
        <v>3.25</v>
      </c>
      <c r="G56" s="1">
        <f t="shared" si="0"/>
        <v>1.7917611358933327</v>
      </c>
      <c r="H56" s="1">
        <f t="shared" si="1"/>
        <v>5.0106352940962555</v>
      </c>
      <c r="I56" s="1">
        <f t="shared" si="2"/>
        <v>2.9957322735539909</v>
      </c>
      <c r="J56" s="1">
        <f t="shared" si="3"/>
        <v>6.1948561058440532</v>
      </c>
      <c r="K56" s="9">
        <f t="shared" si="4"/>
        <v>3.25</v>
      </c>
    </row>
    <row r="57" spans="1:11" ht="15.6" x14ac:dyDescent="0.3">
      <c r="A57" s="8">
        <v>0</v>
      </c>
      <c r="B57" s="1">
        <v>150</v>
      </c>
      <c r="C57" s="1">
        <v>15</v>
      </c>
      <c r="D57" s="1">
        <v>361.79610000000002</v>
      </c>
      <c r="E57" s="4">
        <v>22.5</v>
      </c>
      <c r="G57" s="1">
        <f t="shared" si="0"/>
        <v>-11.512925464970229</v>
      </c>
      <c r="H57" s="1">
        <f t="shared" si="1"/>
        <v>5.0106352940962555</v>
      </c>
      <c r="I57" s="1">
        <f t="shared" si="2"/>
        <v>2.7080502011022101</v>
      </c>
      <c r="J57" s="1">
        <f t="shared" si="3"/>
        <v>5.8910807934669434</v>
      </c>
      <c r="K57" s="9">
        <f t="shared" si="4"/>
        <v>22.5</v>
      </c>
    </row>
    <row r="58" spans="1:11" ht="15.6" x14ac:dyDescent="0.3">
      <c r="A58" s="8">
        <v>0</v>
      </c>
      <c r="B58" s="1">
        <v>200</v>
      </c>
      <c r="C58" s="1">
        <v>5</v>
      </c>
      <c r="D58" s="1">
        <v>257.53699999999998</v>
      </c>
      <c r="E58" s="4">
        <v>22.7</v>
      </c>
      <c r="G58" s="1">
        <f t="shared" si="0"/>
        <v>-11.512925464970229</v>
      </c>
      <c r="H58" s="1">
        <f t="shared" si="1"/>
        <v>5.2983173665480363</v>
      </c>
      <c r="I58" s="1">
        <f t="shared" si="2"/>
        <v>1.6094379124341003</v>
      </c>
      <c r="J58" s="1">
        <f t="shared" si="3"/>
        <v>5.5511633991018572</v>
      </c>
      <c r="K58" s="9">
        <f t="shared" si="4"/>
        <v>22.7</v>
      </c>
    </row>
    <row r="59" spans="1:11" ht="15.6" x14ac:dyDescent="0.3">
      <c r="A59" s="8">
        <v>0</v>
      </c>
      <c r="B59" s="1">
        <v>175</v>
      </c>
      <c r="C59" s="1">
        <v>5</v>
      </c>
      <c r="D59" s="1">
        <v>372.38839999999999</v>
      </c>
      <c r="E59" s="4">
        <v>26.05</v>
      </c>
      <c r="G59" s="1">
        <f t="shared" si="0"/>
        <v>-11.512925464970229</v>
      </c>
      <c r="H59" s="1">
        <f t="shared" si="1"/>
        <v>5.1647859739235145</v>
      </c>
      <c r="I59" s="1">
        <f t="shared" si="2"/>
        <v>1.6094379124341003</v>
      </c>
      <c r="J59" s="1">
        <f t="shared" si="3"/>
        <v>5.9199373956159365</v>
      </c>
      <c r="K59" s="9">
        <f t="shared" si="4"/>
        <v>26.05</v>
      </c>
    </row>
    <row r="60" spans="1:11" ht="15.6" x14ac:dyDescent="0.3">
      <c r="A60" s="8">
        <v>6</v>
      </c>
      <c r="B60" s="1">
        <v>150</v>
      </c>
      <c r="C60" s="1">
        <v>15</v>
      </c>
      <c r="D60" s="1">
        <v>512.08810000000005</v>
      </c>
      <c r="E60" s="4">
        <v>3.55</v>
      </c>
      <c r="G60" s="1">
        <f t="shared" si="0"/>
        <v>1.7917611358933327</v>
      </c>
      <c r="H60" s="1">
        <f t="shared" si="1"/>
        <v>5.0106352940962555</v>
      </c>
      <c r="I60" s="1">
        <f t="shared" si="2"/>
        <v>2.7080502011022101</v>
      </c>
      <c r="J60" s="1">
        <f t="shared" si="3"/>
        <v>6.23849668054961</v>
      </c>
      <c r="K60" s="9">
        <f t="shared" si="4"/>
        <v>3.55</v>
      </c>
    </row>
    <row r="61" spans="1:11" ht="15.6" x14ac:dyDescent="0.3">
      <c r="A61" s="8">
        <v>0</v>
      </c>
      <c r="B61" s="1">
        <v>125</v>
      </c>
      <c r="C61" s="1">
        <v>25</v>
      </c>
      <c r="D61" s="1">
        <v>494.38229999999999</v>
      </c>
      <c r="E61" s="7">
        <v>20</v>
      </c>
      <c r="G61" s="1">
        <f t="shared" si="0"/>
        <v>-11.512925464970229</v>
      </c>
      <c r="H61" s="1">
        <f t="shared" si="1"/>
        <v>4.8283137373023015</v>
      </c>
      <c r="I61" s="1">
        <f t="shared" si="2"/>
        <v>3.2188758248682006</v>
      </c>
      <c r="J61" s="1">
        <f t="shared" si="3"/>
        <v>6.203309104531737</v>
      </c>
      <c r="K61" s="9">
        <f t="shared" si="4"/>
        <v>20</v>
      </c>
    </row>
    <row r="62" spans="1:11" x14ac:dyDescent="0.3">
      <c r="A62" s="8">
        <v>0</v>
      </c>
      <c r="B62" s="1">
        <v>175</v>
      </c>
      <c r="C62" s="1">
        <v>5</v>
      </c>
      <c r="D62" s="1">
        <v>256.59989999999999</v>
      </c>
      <c r="E62" s="3">
        <v>22</v>
      </c>
      <c r="G62" s="1">
        <f t="shared" si="0"/>
        <v>-11.512925464970229</v>
      </c>
      <c r="H62" s="1">
        <f t="shared" si="1"/>
        <v>5.1647859739235145</v>
      </c>
      <c r="I62" s="1">
        <f t="shared" si="2"/>
        <v>1.6094379124341003</v>
      </c>
      <c r="J62" s="1">
        <f t="shared" si="3"/>
        <v>5.5475180624698464</v>
      </c>
      <c r="K62" s="9">
        <f t="shared" si="4"/>
        <v>22</v>
      </c>
    </row>
    <row r="63" spans="1:11" x14ac:dyDescent="0.3">
      <c r="A63" s="8">
        <v>3</v>
      </c>
      <c r="B63" s="1">
        <v>175</v>
      </c>
      <c r="C63" s="1">
        <v>5</v>
      </c>
      <c r="D63" s="1">
        <v>379.05770000000001</v>
      </c>
      <c r="E63" s="3">
        <v>7.25</v>
      </c>
      <c r="G63" s="1">
        <f t="shared" si="0"/>
        <v>1.0986156219958876</v>
      </c>
      <c r="H63" s="1">
        <f t="shared" si="1"/>
        <v>5.1647859739235145</v>
      </c>
      <c r="I63" s="1">
        <f t="shared" si="2"/>
        <v>1.6094379124341003</v>
      </c>
      <c r="J63" s="1">
        <f t="shared" si="3"/>
        <v>5.937688436238739</v>
      </c>
      <c r="K63" s="9">
        <f t="shared" si="4"/>
        <v>7.25</v>
      </c>
    </row>
    <row r="64" spans="1:11" x14ac:dyDescent="0.3">
      <c r="A64" s="8">
        <v>3</v>
      </c>
      <c r="B64" s="1">
        <v>175</v>
      </c>
      <c r="C64" s="1">
        <v>20</v>
      </c>
      <c r="D64" s="1">
        <v>260.47250000000003</v>
      </c>
      <c r="E64" s="3">
        <v>5.55</v>
      </c>
      <c r="G64" s="1">
        <f t="shared" si="0"/>
        <v>1.0986156219958876</v>
      </c>
      <c r="H64" s="1">
        <f t="shared" si="1"/>
        <v>5.1647859739235145</v>
      </c>
      <c r="I64" s="1">
        <f t="shared" si="2"/>
        <v>2.9957322735539909</v>
      </c>
      <c r="J64" s="1">
        <f t="shared" si="3"/>
        <v>5.5624972894021063</v>
      </c>
      <c r="K64" s="9">
        <f t="shared" si="4"/>
        <v>5.55</v>
      </c>
    </row>
    <row r="65" spans="1:11" x14ac:dyDescent="0.3">
      <c r="A65" s="8">
        <v>0</v>
      </c>
      <c r="B65" s="1">
        <v>125</v>
      </c>
      <c r="C65" s="1">
        <v>5</v>
      </c>
      <c r="D65" s="1">
        <v>245.08</v>
      </c>
      <c r="E65" s="3">
        <v>20.05</v>
      </c>
      <c r="G65" s="1">
        <f t="shared" si="0"/>
        <v>-11.512925464970229</v>
      </c>
      <c r="H65" s="1">
        <f t="shared" si="1"/>
        <v>4.8283137373023015</v>
      </c>
      <c r="I65" s="1">
        <f t="shared" si="2"/>
        <v>1.6094379124341003</v>
      </c>
      <c r="J65" s="1">
        <f t="shared" si="3"/>
        <v>5.5015846878574539</v>
      </c>
      <c r="K65" s="9">
        <f t="shared" si="4"/>
        <v>20.05</v>
      </c>
    </row>
    <row r="66" spans="1:11" x14ac:dyDescent="0.3">
      <c r="A66" s="8">
        <v>3</v>
      </c>
      <c r="B66" s="1">
        <v>150</v>
      </c>
      <c r="C66" s="1">
        <v>5</v>
      </c>
      <c r="D66" s="1">
        <v>255.86580000000001</v>
      </c>
      <c r="E66" s="3">
        <v>6.15</v>
      </c>
      <c r="G66" s="1">
        <f t="shared" si="0"/>
        <v>1.0986156219958876</v>
      </c>
      <c r="H66" s="1">
        <f t="shared" si="1"/>
        <v>5.0106352940962555</v>
      </c>
      <c r="I66" s="1">
        <f t="shared" si="2"/>
        <v>1.6094379124341003</v>
      </c>
      <c r="J66" s="1">
        <f t="shared" si="3"/>
        <v>5.5446530882788752</v>
      </c>
      <c r="K66" s="9">
        <f t="shared" si="4"/>
        <v>6.15</v>
      </c>
    </row>
    <row r="67" spans="1:11" x14ac:dyDescent="0.3">
      <c r="A67" s="8">
        <v>6</v>
      </c>
      <c r="B67" s="1">
        <v>150</v>
      </c>
      <c r="C67" s="1">
        <v>5</v>
      </c>
      <c r="D67" s="1">
        <v>243.9718</v>
      </c>
      <c r="E67" s="3">
        <v>2.8</v>
      </c>
      <c r="G67" s="1">
        <f t="shared" ref="G67:G76" si="5">LN(A67+0.00001)</f>
        <v>1.7917611358933327</v>
      </c>
      <c r="H67" s="1">
        <f t="shared" ref="H67:H76" si="6">LN(B67)</f>
        <v>5.0106352940962555</v>
      </c>
      <c r="I67" s="1">
        <f t="shared" ref="I67:I76" si="7">LN(C67)</f>
        <v>1.6094379124341003</v>
      </c>
      <c r="J67" s="1">
        <f t="shared" ref="J67:J76" si="8">LN(D67)</f>
        <v>5.4970526448435475</v>
      </c>
      <c r="K67" s="9">
        <f t="shared" ref="K67:K76" si="9">E67</f>
        <v>2.8</v>
      </c>
    </row>
    <row r="68" spans="1:11" x14ac:dyDescent="0.3">
      <c r="A68" s="8">
        <v>0</v>
      </c>
      <c r="B68" s="1">
        <v>150</v>
      </c>
      <c r="C68" s="1">
        <v>20</v>
      </c>
      <c r="D68" s="1">
        <v>363.40870000000001</v>
      </c>
      <c r="E68" s="3">
        <v>21.2</v>
      </c>
      <c r="G68" s="1">
        <f t="shared" si="5"/>
        <v>-11.512925464970229</v>
      </c>
      <c r="H68" s="1">
        <f t="shared" si="6"/>
        <v>5.0106352940962555</v>
      </c>
      <c r="I68" s="1">
        <f t="shared" si="7"/>
        <v>2.9957322735539909</v>
      </c>
      <c r="J68" s="1">
        <f t="shared" si="8"/>
        <v>5.8955280962368652</v>
      </c>
      <c r="K68" s="9">
        <f t="shared" si="9"/>
        <v>21.2</v>
      </c>
    </row>
    <row r="69" spans="1:11" x14ac:dyDescent="0.3">
      <c r="A69" s="8">
        <v>6</v>
      </c>
      <c r="B69" s="1">
        <v>150</v>
      </c>
      <c r="C69" s="1">
        <v>25</v>
      </c>
      <c r="D69" s="1">
        <v>504.52719999999999</v>
      </c>
      <c r="E69" s="3">
        <v>3.15</v>
      </c>
      <c r="G69" s="1">
        <f t="shared" si="5"/>
        <v>1.7917611358933327</v>
      </c>
      <c r="H69" s="1">
        <f t="shared" si="6"/>
        <v>5.0106352940962555</v>
      </c>
      <c r="I69" s="1">
        <f t="shared" si="7"/>
        <v>3.2188758248682006</v>
      </c>
      <c r="J69" s="1">
        <f t="shared" si="8"/>
        <v>6.2236217531074107</v>
      </c>
      <c r="K69" s="9">
        <f t="shared" si="9"/>
        <v>3.15</v>
      </c>
    </row>
    <row r="70" spans="1:11" x14ac:dyDescent="0.3">
      <c r="A70" s="8">
        <v>6</v>
      </c>
      <c r="B70" s="1">
        <v>175</v>
      </c>
      <c r="C70" s="1">
        <v>20</v>
      </c>
      <c r="D70" s="1">
        <v>480.75959999999998</v>
      </c>
      <c r="E70" s="3">
        <v>3.45</v>
      </c>
      <c r="G70" s="1">
        <f t="shared" si="5"/>
        <v>1.7917611358933327</v>
      </c>
      <c r="H70" s="1">
        <f t="shared" si="6"/>
        <v>5.1647859739235145</v>
      </c>
      <c r="I70" s="1">
        <f t="shared" si="7"/>
        <v>2.9957322735539909</v>
      </c>
      <c r="J70" s="1">
        <f t="shared" si="8"/>
        <v>6.1753673530682676</v>
      </c>
      <c r="K70" s="9">
        <f t="shared" si="9"/>
        <v>3.45</v>
      </c>
    </row>
    <row r="71" spans="1:11" x14ac:dyDescent="0.3">
      <c r="A71" s="8">
        <v>6</v>
      </c>
      <c r="B71" s="1">
        <v>200</v>
      </c>
      <c r="C71" s="1">
        <v>15</v>
      </c>
      <c r="D71" s="1">
        <v>489.03680000000003</v>
      </c>
      <c r="E71" s="3">
        <v>3.8</v>
      </c>
      <c r="G71" s="1">
        <f t="shared" si="5"/>
        <v>1.7917611358933327</v>
      </c>
      <c r="H71" s="1">
        <f t="shared" si="6"/>
        <v>5.2983173665480363</v>
      </c>
      <c r="I71" s="1">
        <f t="shared" si="7"/>
        <v>2.7080502011022101</v>
      </c>
      <c r="J71" s="1">
        <f t="shared" si="8"/>
        <v>6.1924377422670318</v>
      </c>
      <c r="K71" s="9">
        <f t="shared" si="9"/>
        <v>3.8</v>
      </c>
    </row>
    <row r="72" spans="1:11" x14ac:dyDescent="0.3">
      <c r="A72" s="8">
        <v>0</v>
      </c>
      <c r="B72" s="1">
        <v>100</v>
      </c>
      <c r="C72" s="1">
        <v>20</v>
      </c>
      <c r="D72" s="1">
        <v>259.05040000000002</v>
      </c>
      <c r="E72" s="3">
        <v>15.85</v>
      </c>
      <c r="G72" s="1">
        <f t="shared" si="5"/>
        <v>-11.512925464970229</v>
      </c>
      <c r="H72" s="1">
        <f t="shared" si="6"/>
        <v>4.6051701859880918</v>
      </c>
      <c r="I72" s="1">
        <f t="shared" si="7"/>
        <v>2.9957322735539909</v>
      </c>
      <c r="J72" s="1">
        <f t="shared" si="8"/>
        <v>5.55702263736306</v>
      </c>
      <c r="K72" s="9">
        <f t="shared" si="9"/>
        <v>15.85</v>
      </c>
    </row>
    <row r="73" spans="1:11" x14ac:dyDescent="0.3">
      <c r="A73" s="8">
        <v>0</v>
      </c>
      <c r="B73" s="1">
        <v>150</v>
      </c>
      <c r="C73" s="1">
        <v>15</v>
      </c>
      <c r="D73" s="1">
        <v>250.5778</v>
      </c>
      <c r="E73" s="3">
        <v>19.850000000000001</v>
      </c>
      <c r="G73" s="1">
        <f t="shared" si="5"/>
        <v>-11.512925464970229</v>
      </c>
      <c r="H73" s="1">
        <f t="shared" si="6"/>
        <v>5.0106352940962555</v>
      </c>
      <c r="I73" s="1">
        <f t="shared" si="7"/>
        <v>2.7080502011022101</v>
      </c>
      <c r="J73" s="1">
        <f t="shared" si="8"/>
        <v>5.5237694511476096</v>
      </c>
      <c r="K73" s="9">
        <f t="shared" si="9"/>
        <v>19.850000000000001</v>
      </c>
    </row>
    <row r="74" spans="1:11" x14ac:dyDescent="0.3">
      <c r="A74" s="8">
        <v>6</v>
      </c>
      <c r="B74" s="1">
        <v>100</v>
      </c>
      <c r="C74" s="1">
        <v>15</v>
      </c>
      <c r="D74" s="1">
        <v>369.71690000000001</v>
      </c>
      <c r="E74" s="3">
        <v>2.4500000000000002</v>
      </c>
      <c r="G74" s="1">
        <f t="shared" si="5"/>
        <v>1.7917611358933327</v>
      </c>
      <c r="H74" s="1">
        <f t="shared" si="6"/>
        <v>4.6051701859880918</v>
      </c>
      <c r="I74" s="1">
        <f t="shared" si="7"/>
        <v>2.7080502011022101</v>
      </c>
      <c r="J74" s="1">
        <f t="shared" si="8"/>
        <v>5.9127375776378504</v>
      </c>
      <c r="K74" s="9">
        <f t="shared" si="9"/>
        <v>2.4500000000000002</v>
      </c>
    </row>
    <row r="75" spans="1:11" x14ac:dyDescent="0.3">
      <c r="A75" s="8">
        <v>3</v>
      </c>
      <c r="B75" s="1">
        <v>100</v>
      </c>
      <c r="C75" s="1">
        <v>10</v>
      </c>
      <c r="D75" s="1">
        <v>499.15309999999999</v>
      </c>
      <c r="E75" s="3">
        <v>6.55</v>
      </c>
      <c r="G75" s="1">
        <f t="shared" si="5"/>
        <v>1.0986156219958876</v>
      </c>
      <c r="H75" s="1">
        <f t="shared" si="6"/>
        <v>4.6051701859880918</v>
      </c>
      <c r="I75" s="1">
        <f t="shared" si="7"/>
        <v>2.3025850929940459</v>
      </c>
      <c r="J75" s="1">
        <f t="shared" si="8"/>
        <v>6.2129128623210974</v>
      </c>
      <c r="K75" s="9">
        <f t="shared" si="9"/>
        <v>6.55</v>
      </c>
    </row>
    <row r="76" spans="1:11" x14ac:dyDescent="0.3">
      <c r="A76" s="8">
        <v>0</v>
      </c>
      <c r="B76" s="1">
        <v>100</v>
      </c>
      <c r="C76" s="1">
        <v>10</v>
      </c>
      <c r="D76" s="1">
        <v>491.48820000000001</v>
      </c>
      <c r="E76" s="3">
        <v>23.1</v>
      </c>
      <c r="G76" s="1">
        <f t="shared" si="5"/>
        <v>-11.512925464970229</v>
      </c>
      <c r="H76" s="1">
        <f t="shared" si="6"/>
        <v>4.6051701859880918</v>
      </c>
      <c r="I76" s="1">
        <f t="shared" si="7"/>
        <v>2.3025850929940459</v>
      </c>
      <c r="J76" s="1">
        <f t="shared" si="8"/>
        <v>6.1974379311606693</v>
      </c>
      <c r="K76" s="9">
        <f t="shared" si="9"/>
        <v>23.1</v>
      </c>
    </row>
    <row r="77" spans="1:11" x14ac:dyDescent="0.3">
      <c r="A77" s="8">
        <v>0</v>
      </c>
      <c r="B77" s="1">
        <v>200</v>
      </c>
      <c r="C77" s="1">
        <v>10</v>
      </c>
      <c r="D77" s="8">
        <v>256.97570000000002</v>
      </c>
      <c r="E77" s="1">
        <v>22.35</v>
      </c>
      <c r="G77" s="1">
        <f t="shared" ref="G77:G140" si="10">LN(A77+0.00001)</f>
        <v>-11.512925464970229</v>
      </c>
      <c r="H77" s="1">
        <f t="shared" ref="H77:H140" si="11">LN(B77)</f>
        <v>5.2983173665480363</v>
      </c>
      <c r="I77" s="1">
        <f t="shared" ref="I77:I140" si="12">LN(C77)</f>
        <v>2.3025850929940459</v>
      </c>
      <c r="J77" s="1">
        <f t="shared" ref="J77:J140" si="13">LN(D77)</f>
        <v>5.5489815278956645</v>
      </c>
      <c r="K77" s="9">
        <f t="shared" ref="K77:K140" si="14">E77</f>
        <v>22.35</v>
      </c>
    </row>
    <row r="78" spans="1:11" x14ac:dyDescent="0.3">
      <c r="A78" s="8">
        <v>3</v>
      </c>
      <c r="B78" s="1">
        <v>150</v>
      </c>
      <c r="C78" s="1">
        <v>20</v>
      </c>
      <c r="D78" s="8">
        <v>253.76159999999999</v>
      </c>
      <c r="E78" s="1">
        <v>5.3</v>
      </c>
      <c r="G78" s="1">
        <f t="shared" si="10"/>
        <v>1.0986156219958876</v>
      </c>
      <c r="H78" s="1">
        <f t="shared" si="11"/>
        <v>5.0106352940962555</v>
      </c>
      <c r="I78" s="1">
        <f t="shared" si="12"/>
        <v>2.9957322735539909</v>
      </c>
      <c r="J78" s="1">
        <f t="shared" si="13"/>
        <v>5.5363952435968455</v>
      </c>
      <c r="K78" s="9">
        <f t="shared" si="14"/>
        <v>5.3</v>
      </c>
    </row>
    <row r="79" spans="1:11" x14ac:dyDescent="0.3">
      <c r="A79" s="8">
        <v>0</v>
      </c>
      <c r="B79" s="1">
        <v>200</v>
      </c>
      <c r="C79" s="1">
        <v>25</v>
      </c>
      <c r="D79" s="8">
        <v>251.79730000000001</v>
      </c>
      <c r="E79" s="1">
        <v>19.55</v>
      </c>
      <c r="G79" s="1">
        <f t="shared" si="10"/>
        <v>-11.512925464970229</v>
      </c>
      <c r="H79" s="1">
        <f t="shared" si="11"/>
        <v>5.2983173665480363</v>
      </c>
      <c r="I79" s="1">
        <f t="shared" si="12"/>
        <v>3.2188758248682006</v>
      </c>
      <c r="J79" s="1">
        <f t="shared" si="13"/>
        <v>5.5286243987568877</v>
      </c>
      <c r="K79" s="9">
        <f t="shared" si="14"/>
        <v>19.55</v>
      </c>
    </row>
    <row r="80" spans="1:11" x14ac:dyDescent="0.3">
      <c r="A80" s="8">
        <v>0</v>
      </c>
      <c r="B80" s="1">
        <v>125</v>
      </c>
      <c r="C80" s="1">
        <v>25</v>
      </c>
      <c r="D80" s="8">
        <v>374.79239999999999</v>
      </c>
      <c r="E80" s="1">
        <v>18.25</v>
      </c>
      <c r="G80" s="1">
        <f t="shared" si="10"/>
        <v>-11.512925464970229</v>
      </c>
      <c r="H80" s="1">
        <f t="shared" si="11"/>
        <v>4.8283137373023015</v>
      </c>
      <c r="I80" s="1">
        <f t="shared" si="12"/>
        <v>3.2188758248682006</v>
      </c>
      <c r="J80" s="1">
        <f t="shared" si="13"/>
        <v>5.9263722726773524</v>
      </c>
      <c r="K80" s="9">
        <f t="shared" si="14"/>
        <v>18.25</v>
      </c>
    </row>
    <row r="81" spans="1:11" x14ac:dyDescent="0.3">
      <c r="A81" s="8">
        <v>3</v>
      </c>
      <c r="B81" s="1">
        <v>150</v>
      </c>
      <c r="C81" s="1">
        <v>10</v>
      </c>
      <c r="D81" s="8">
        <v>389.39010000000002</v>
      </c>
      <c r="E81" s="1">
        <v>6.6</v>
      </c>
      <c r="G81" s="1">
        <f t="shared" si="10"/>
        <v>1.0986156219958876</v>
      </c>
      <c r="H81" s="1">
        <f t="shared" si="11"/>
        <v>5.0106352940962555</v>
      </c>
      <c r="I81" s="1">
        <f t="shared" si="12"/>
        <v>2.3025850929940459</v>
      </c>
      <c r="J81" s="1">
        <f t="shared" si="13"/>
        <v>5.9645816688860975</v>
      </c>
      <c r="K81" s="9">
        <f t="shared" si="14"/>
        <v>6.6</v>
      </c>
    </row>
    <row r="82" spans="1:11" x14ac:dyDescent="0.3">
      <c r="A82" s="8">
        <v>0</v>
      </c>
      <c r="B82" s="1">
        <v>100</v>
      </c>
      <c r="C82" s="1">
        <v>25</v>
      </c>
      <c r="D82" s="8">
        <v>356.95859999999999</v>
      </c>
      <c r="E82" s="1">
        <v>16.2</v>
      </c>
      <c r="G82" s="1">
        <f t="shared" si="10"/>
        <v>-11.512925464970229</v>
      </c>
      <c r="H82" s="1">
        <f t="shared" si="11"/>
        <v>4.6051701859880918</v>
      </c>
      <c r="I82" s="1">
        <f t="shared" si="12"/>
        <v>3.2188758248682006</v>
      </c>
      <c r="J82" s="1">
        <f t="shared" si="13"/>
        <v>5.877619808668463</v>
      </c>
      <c r="K82" s="9">
        <f t="shared" si="14"/>
        <v>16.2</v>
      </c>
    </row>
    <row r="83" spans="1:11" x14ac:dyDescent="0.3">
      <c r="A83" s="8">
        <v>3</v>
      </c>
      <c r="B83" s="1">
        <v>150</v>
      </c>
      <c r="C83" s="1">
        <v>25</v>
      </c>
      <c r="D83" s="8">
        <v>487.41469999999998</v>
      </c>
      <c r="E83" s="1">
        <v>6.42</v>
      </c>
      <c r="G83" s="1">
        <f t="shared" si="10"/>
        <v>1.0986156219958876</v>
      </c>
      <c r="H83" s="1">
        <f t="shared" si="11"/>
        <v>5.0106352940962555</v>
      </c>
      <c r="I83" s="1">
        <f t="shared" si="12"/>
        <v>3.2188758248682006</v>
      </c>
      <c r="J83" s="1">
        <f t="shared" si="13"/>
        <v>6.1891153007691289</v>
      </c>
      <c r="K83" s="9">
        <f t="shared" si="14"/>
        <v>6.42</v>
      </c>
    </row>
    <row r="84" spans="1:11" x14ac:dyDescent="0.3">
      <c r="A84" s="8">
        <v>3</v>
      </c>
      <c r="B84" s="1">
        <v>200</v>
      </c>
      <c r="C84" s="1">
        <v>5</v>
      </c>
      <c r="D84" s="8">
        <v>379.38720000000001</v>
      </c>
      <c r="E84" s="1">
        <v>7.35</v>
      </c>
      <c r="G84" s="1">
        <f t="shared" si="10"/>
        <v>1.0986156219958876</v>
      </c>
      <c r="H84" s="1">
        <f t="shared" si="11"/>
        <v>5.2983173665480363</v>
      </c>
      <c r="I84" s="1">
        <f t="shared" si="12"/>
        <v>1.6094379124341003</v>
      </c>
      <c r="J84" s="1">
        <f t="shared" si="13"/>
        <v>5.9385573194515606</v>
      </c>
      <c r="K84" s="9">
        <f t="shared" si="14"/>
        <v>7.35</v>
      </c>
    </row>
    <row r="85" spans="1:11" x14ac:dyDescent="0.3">
      <c r="A85" s="8">
        <v>3</v>
      </c>
      <c r="B85" s="1">
        <v>125</v>
      </c>
      <c r="C85" s="1">
        <v>25</v>
      </c>
      <c r="D85" s="8">
        <v>358.452</v>
      </c>
      <c r="E85" s="1">
        <v>5.65</v>
      </c>
      <c r="G85" s="1">
        <f t="shared" si="10"/>
        <v>1.0986156219958876</v>
      </c>
      <c r="H85" s="1">
        <f t="shared" si="11"/>
        <v>4.8283137373023015</v>
      </c>
      <c r="I85" s="1">
        <f t="shared" si="12"/>
        <v>3.2188758248682006</v>
      </c>
      <c r="J85" s="1">
        <f t="shared" si="13"/>
        <v>5.881794759862057</v>
      </c>
      <c r="K85" s="9">
        <f t="shared" si="14"/>
        <v>5.65</v>
      </c>
    </row>
    <row r="86" spans="1:11" x14ac:dyDescent="0.3">
      <c r="A86" s="8">
        <v>0</v>
      </c>
      <c r="B86" s="1">
        <v>150</v>
      </c>
      <c r="C86" s="1">
        <v>20</v>
      </c>
      <c r="D86" s="8">
        <v>498.72699999999998</v>
      </c>
      <c r="E86" s="1">
        <v>23.5</v>
      </c>
      <c r="G86" s="1">
        <f t="shared" si="10"/>
        <v>-11.512925464970229</v>
      </c>
      <c r="H86" s="1">
        <f t="shared" si="11"/>
        <v>5.0106352940962555</v>
      </c>
      <c r="I86" s="1">
        <f t="shared" si="12"/>
        <v>2.9957322735539909</v>
      </c>
      <c r="J86" s="1">
        <f t="shared" si="13"/>
        <v>6.2120588518525102</v>
      </c>
      <c r="K86" s="9">
        <f t="shared" si="14"/>
        <v>23.5</v>
      </c>
    </row>
    <row r="87" spans="1:11" x14ac:dyDescent="0.3">
      <c r="A87" s="8">
        <v>0</v>
      </c>
      <c r="B87" s="1">
        <v>175</v>
      </c>
      <c r="C87" s="1">
        <v>10</v>
      </c>
      <c r="D87" s="8">
        <v>501.27820000000003</v>
      </c>
      <c r="E87" s="1">
        <v>28.15</v>
      </c>
      <c r="G87" s="1">
        <f t="shared" si="10"/>
        <v>-11.512925464970229</v>
      </c>
      <c r="H87" s="1">
        <f t="shared" si="11"/>
        <v>5.1647859739235145</v>
      </c>
      <c r="I87" s="1">
        <f t="shared" si="12"/>
        <v>2.3025850929940459</v>
      </c>
      <c r="J87" s="1">
        <f t="shared" si="13"/>
        <v>6.2171612363899023</v>
      </c>
      <c r="K87" s="9">
        <f t="shared" si="14"/>
        <v>28.15</v>
      </c>
    </row>
    <row r="88" spans="1:11" x14ac:dyDescent="0.3">
      <c r="A88" s="8">
        <v>3</v>
      </c>
      <c r="B88" s="1">
        <v>200</v>
      </c>
      <c r="C88" s="1">
        <v>10</v>
      </c>
      <c r="D88" s="8">
        <v>365.11959999999999</v>
      </c>
      <c r="E88" s="1">
        <v>6.8</v>
      </c>
      <c r="G88" s="1">
        <f t="shared" si="10"/>
        <v>1.0986156219958876</v>
      </c>
      <c r="H88" s="1">
        <f t="shared" si="11"/>
        <v>5.2983173665480363</v>
      </c>
      <c r="I88" s="1">
        <f t="shared" si="12"/>
        <v>2.3025850929940459</v>
      </c>
      <c r="J88" s="1">
        <f t="shared" si="13"/>
        <v>5.9002249711428743</v>
      </c>
      <c r="K88" s="9">
        <f t="shared" si="14"/>
        <v>6.8</v>
      </c>
    </row>
    <row r="89" spans="1:11" x14ac:dyDescent="0.3">
      <c r="A89" s="8">
        <v>3</v>
      </c>
      <c r="B89" s="1">
        <v>100</v>
      </c>
      <c r="C89" s="1">
        <v>20</v>
      </c>
      <c r="D89" s="8">
        <v>254.9263</v>
      </c>
      <c r="E89" s="1">
        <v>4.8</v>
      </c>
      <c r="G89" s="1">
        <f t="shared" si="10"/>
        <v>1.0986156219958876</v>
      </c>
      <c r="H89" s="1">
        <f t="shared" si="11"/>
        <v>4.6051701859880918</v>
      </c>
      <c r="I89" s="1">
        <f t="shared" si="12"/>
        <v>2.9957322735539909</v>
      </c>
      <c r="J89" s="1">
        <f t="shared" si="13"/>
        <v>5.5409744837763668</v>
      </c>
      <c r="K89" s="9">
        <f t="shared" si="14"/>
        <v>4.8</v>
      </c>
    </row>
    <row r="90" spans="1:11" x14ac:dyDescent="0.3">
      <c r="A90" s="8">
        <v>3</v>
      </c>
      <c r="B90" s="1">
        <v>125</v>
      </c>
      <c r="C90" s="1">
        <v>25</v>
      </c>
      <c r="D90" s="8">
        <v>269.19389999999999</v>
      </c>
      <c r="E90" s="1">
        <v>5.1100000000000003</v>
      </c>
      <c r="G90" s="1">
        <f t="shared" si="10"/>
        <v>1.0986156219958876</v>
      </c>
      <c r="H90" s="1">
        <f t="shared" si="11"/>
        <v>4.8283137373023015</v>
      </c>
      <c r="I90" s="1">
        <f t="shared" si="12"/>
        <v>3.2188758248682006</v>
      </c>
      <c r="J90" s="1">
        <f t="shared" si="13"/>
        <v>5.5954319377812958</v>
      </c>
      <c r="K90" s="9">
        <f t="shared" si="14"/>
        <v>5.1100000000000003</v>
      </c>
    </row>
    <row r="91" spans="1:11" x14ac:dyDescent="0.3">
      <c r="A91" s="8">
        <v>3</v>
      </c>
      <c r="B91" s="1">
        <v>150</v>
      </c>
      <c r="C91" s="1">
        <v>5</v>
      </c>
      <c r="D91" s="8">
        <v>499.34930000000003</v>
      </c>
      <c r="E91" s="1">
        <v>7.7</v>
      </c>
      <c r="G91" s="1">
        <f t="shared" si="10"/>
        <v>1.0986156219958876</v>
      </c>
      <c r="H91" s="1">
        <f t="shared" si="11"/>
        <v>5.0106352940962555</v>
      </c>
      <c r="I91" s="1">
        <f t="shared" si="12"/>
        <v>1.6094379124341003</v>
      </c>
      <c r="J91" s="1">
        <f t="shared" si="13"/>
        <v>6.2133058508657921</v>
      </c>
      <c r="K91" s="9">
        <f t="shared" si="14"/>
        <v>7.7</v>
      </c>
    </row>
    <row r="92" spans="1:11" x14ac:dyDescent="0.3">
      <c r="A92" s="8">
        <v>0</v>
      </c>
      <c r="B92" s="1">
        <v>100</v>
      </c>
      <c r="C92" s="1">
        <v>5</v>
      </c>
      <c r="D92" s="8">
        <v>511.87169999999998</v>
      </c>
      <c r="E92" s="1">
        <v>25</v>
      </c>
      <c r="G92" s="1">
        <f t="shared" si="10"/>
        <v>-11.512925464970229</v>
      </c>
      <c r="H92" s="1">
        <f t="shared" si="11"/>
        <v>4.6051701859880918</v>
      </c>
      <c r="I92" s="1">
        <f t="shared" si="12"/>
        <v>1.6094379124341003</v>
      </c>
      <c r="J92" s="1">
        <f t="shared" si="13"/>
        <v>6.2380740077001056</v>
      </c>
      <c r="K92" s="9">
        <f t="shared" si="14"/>
        <v>25</v>
      </c>
    </row>
    <row r="93" spans="1:11" x14ac:dyDescent="0.3">
      <c r="A93" s="8">
        <v>6</v>
      </c>
      <c r="B93" s="1">
        <v>150</v>
      </c>
      <c r="C93" s="1">
        <v>10</v>
      </c>
      <c r="D93" s="8">
        <v>361.07010000000002</v>
      </c>
      <c r="E93" s="1">
        <v>3.2</v>
      </c>
      <c r="G93" s="1">
        <f t="shared" si="10"/>
        <v>1.7917611358933327</v>
      </c>
      <c r="H93" s="1">
        <f t="shared" si="11"/>
        <v>5.0106352940962555</v>
      </c>
      <c r="I93" s="1">
        <f t="shared" si="12"/>
        <v>2.3025850929940459</v>
      </c>
      <c r="J93" s="1">
        <f t="shared" si="13"/>
        <v>5.8890721223073212</v>
      </c>
      <c r="K93" s="9">
        <f t="shared" si="14"/>
        <v>3.2</v>
      </c>
    </row>
    <row r="94" spans="1:11" x14ac:dyDescent="0.3">
      <c r="A94" s="8">
        <v>3</v>
      </c>
      <c r="B94" s="1">
        <v>125</v>
      </c>
      <c r="C94" s="1">
        <v>5</v>
      </c>
      <c r="D94" s="8">
        <v>378.5324</v>
      </c>
      <c r="E94" s="1">
        <v>6.85</v>
      </c>
      <c r="G94" s="1">
        <f t="shared" si="10"/>
        <v>1.0986156219958876</v>
      </c>
      <c r="H94" s="1">
        <f t="shared" si="11"/>
        <v>4.8283137373023015</v>
      </c>
      <c r="I94" s="1">
        <f t="shared" si="12"/>
        <v>1.6094379124341003</v>
      </c>
      <c r="J94" s="1">
        <f t="shared" si="13"/>
        <v>5.936301670270745</v>
      </c>
      <c r="K94" s="9">
        <f t="shared" si="14"/>
        <v>6.85</v>
      </c>
    </row>
    <row r="95" spans="1:11" x14ac:dyDescent="0.3">
      <c r="A95" s="8">
        <v>3</v>
      </c>
      <c r="B95" s="1">
        <v>200</v>
      </c>
      <c r="C95" s="1">
        <v>15</v>
      </c>
      <c r="D95" s="8">
        <v>252.72489999999999</v>
      </c>
      <c r="E95" s="1">
        <v>5.75</v>
      </c>
      <c r="G95" s="1">
        <f t="shared" si="10"/>
        <v>1.0986156219958876</v>
      </c>
      <c r="H95" s="1">
        <f t="shared" si="11"/>
        <v>5.2983173665480363</v>
      </c>
      <c r="I95" s="1">
        <f t="shared" si="12"/>
        <v>2.7080502011022101</v>
      </c>
      <c r="J95" s="1">
        <f t="shared" si="13"/>
        <v>5.5323015453530315</v>
      </c>
      <c r="K95" s="9">
        <f t="shared" si="14"/>
        <v>5.75</v>
      </c>
    </row>
    <row r="96" spans="1:11" x14ac:dyDescent="0.3">
      <c r="A96" s="8">
        <v>3</v>
      </c>
      <c r="B96" s="1">
        <v>125</v>
      </c>
      <c r="C96" s="1">
        <v>20</v>
      </c>
      <c r="D96" s="8">
        <v>478.99419999999998</v>
      </c>
      <c r="E96" s="1">
        <v>6.3</v>
      </c>
      <c r="G96" s="1">
        <f t="shared" si="10"/>
        <v>1.0986156219958876</v>
      </c>
      <c r="H96" s="1">
        <f t="shared" si="11"/>
        <v>4.8283137373023015</v>
      </c>
      <c r="I96" s="1">
        <f t="shared" si="12"/>
        <v>2.9957322735539909</v>
      </c>
      <c r="J96" s="1">
        <f t="shared" si="13"/>
        <v>6.1716884887781074</v>
      </c>
      <c r="K96" s="9">
        <f t="shared" si="14"/>
        <v>6.3</v>
      </c>
    </row>
    <row r="97" spans="1:11" x14ac:dyDescent="0.3">
      <c r="A97" s="8">
        <v>6</v>
      </c>
      <c r="B97" s="1">
        <v>100</v>
      </c>
      <c r="C97" s="1">
        <v>10</v>
      </c>
      <c r="D97" s="8">
        <v>259.9873</v>
      </c>
      <c r="E97" s="1">
        <v>2.1</v>
      </c>
      <c r="G97" s="1">
        <f t="shared" si="10"/>
        <v>1.7917611358933327</v>
      </c>
      <c r="H97" s="1">
        <f t="shared" si="11"/>
        <v>4.6051701859880918</v>
      </c>
      <c r="I97" s="1">
        <f t="shared" si="12"/>
        <v>2.3025850929940459</v>
      </c>
      <c r="J97" s="1">
        <f t="shared" si="13"/>
        <v>5.5606327836686695</v>
      </c>
      <c r="K97" s="9">
        <f t="shared" si="14"/>
        <v>2.1</v>
      </c>
    </row>
    <row r="98" spans="1:11" x14ac:dyDescent="0.3">
      <c r="A98" s="8">
        <v>0</v>
      </c>
      <c r="B98" s="1">
        <v>175</v>
      </c>
      <c r="C98" s="1">
        <v>10</v>
      </c>
      <c r="D98" s="8">
        <v>253.0472</v>
      </c>
      <c r="E98" s="1">
        <v>21.75</v>
      </c>
      <c r="G98" s="1">
        <f t="shared" si="10"/>
        <v>-11.512925464970229</v>
      </c>
      <c r="H98" s="1">
        <f t="shared" si="11"/>
        <v>5.1647859739235145</v>
      </c>
      <c r="I98" s="1">
        <f t="shared" si="12"/>
        <v>2.3025850929940459</v>
      </c>
      <c r="J98" s="1">
        <f t="shared" si="13"/>
        <v>5.5335760325919541</v>
      </c>
      <c r="K98" s="9">
        <f t="shared" si="14"/>
        <v>21.75</v>
      </c>
    </row>
    <row r="99" spans="1:11" x14ac:dyDescent="0.3">
      <c r="A99" s="8">
        <v>0</v>
      </c>
      <c r="B99" s="1">
        <v>150</v>
      </c>
      <c r="C99" s="1">
        <v>10</v>
      </c>
      <c r="D99" s="8">
        <v>505.19200000000001</v>
      </c>
      <c r="E99" s="1">
        <v>26.65</v>
      </c>
      <c r="G99" s="1">
        <f t="shared" si="10"/>
        <v>-11.512925464970229</v>
      </c>
      <c r="H99" s="1">
        <f t="shared" si="11"/>
        <v>5.0106352940962555</v>
      </c>
      <c r="I99" s="1">
        <f t="shared" si="12"/>
        <v>2.3025850929940459</v>
      </c>
      <c r="J99" s="1">
        <f t="shared" si="13"/>
        <v>6.224938555038209</v>
      </c>
      <c r="K99" s="9">
        <f t="shared" si="14"/>
        <v>26.65</v>
      </c>
    </row>
    <row r="100" spans="1:11" x14ac:dyDescent="0.3">
      <c r="A100" s="8">
        <v>0</v>
      </c>
      <c r="B100" s="1">
        <v>200</v>
      </c>
      <c r="C100" s="1">
        <v>5</v>
      </c>
      <c r="D100" s="8">
        <v>365.4051</v>
      </c>
      <c r="E100" s="1">
        <v>26.4</v>
      </c>
      <c r="G100" s="1">
        <f t="shared" si="10"/>
        <v>-11.512925464970229</v>
      </c>
      <c r="H100" s="1">
        <f t="shared" si="11"/>
        <v>5.2983173665480363</v>
      </c>
      <c r="I100" s="1">
        <f t="shared" si="12"/>
        <v>1.6094379124341003</v>
      </c>
      <c r="J100" s="1">
        <f t="shared" si="13"/>
        <v>5.9010066011535649</v>
      </c>
      <c r="K100" s="9">
        <f t="shared" si="14"/>
        <v>26.4</v>
      </c>
    </row>
    <row r="101" spans="1:11" x14ac:dyDescent="0.3">
      <c r="A101" s="8">
        <v>0</v>
      </c>
      <c r="B101" s="1">
        <v>100</v>
      </c>
      <c r="C101" s="1">
        <v>20</v>
      </c>
      <c r="D101" s="8">
        <v>514.077</v>
      </c>
      <c r="E101" s="1">
        <v>19.899999999999999</v>
      </c>
      <c r="G101" s="1">
        <f t="shared" si="10"/>
        <v>-11.512925464970229</v>
      </c>
      <c r="H101" s="1">
        <f t="shared" si="11"/>
        <v>4.6051701859880918</v>
      </c>
      <c r="I101" s="1">
        <f t="shared" si="12"/>
        <v>2.9957322735539909</v>
      </c>
      <c r="J101" s="1">
        <f t="shared" si="13"/>
        <v>6.2423730596829206</v>
      </c>
      <c r="K101" s="9">
        <f t="shared" si="14"/>
        <v>19.899999999999999</v>
      </c>
    </row>
    <row r="102" spans="1:11" x14ac:dyDescent="0.3">
      <c r="A102" s="8">
        <v>3</v>
      </c>
      <c r="B102" s="1">
        <v>200</v>
      </c>
      <c r="C102" s="1">
        <v>10</v>
      </c>
      <c r="D102" s="8">
        <v>505.19369999999998</v>
      </c>
      <c r="E102" s="1">
        <v>7.5</v>
      </c>
      <c r="G102" s="1">
        <f t="shared" si="10"/>
        <v>1.0986156219958876</v>
      </c>
      <c r="H102" s="1">
        <f t="shared" si="11"/>
        <v>5.2983173665480363</v>
      </c>
      <c r="I102" s="1">
        <f t="shared" si="12"/>
        <v>2.3025850929940459</v>
      </c>
      <c r="J102" s="1">
        <f t="shared" si="13"/>
        <v>6.2249419200897922</v>
      </c>
      <c r="K102" s="9">
        <f t="shared" si="14"/>
        <v>7.5</v>
      </c>
    </row>
    <row r="103" spans="1:11" x14ac:dyDescent="0.3">
      <c r="A103" s="8">
        <v>3</v>
      </c>
      <c r="B103" s="1">
        <v>100</v>
      </c>
      <c r="C103" s="1">
        <v>20</v>
      </c>
      <c r="D103" s="8">
        <v>371.59589999999997</v>
      </c>
      <c r="E103" s="1">
        <v>5.5</v>
      </c>
      <c r="G103" s="1">
        <f t="shared" si="10"/>
        <v>1.0986156219958876</v>
      </c>
      <c r="H103" s="1">
        <f t="shared" si="11"/>
        <v>4.6051701859880918</v>
      </c>
      <c r="I103" s="1">
        <f t="shared" si="12"/>
        <v>2.9957322735539909</v>
      </c>
      <c r="J103" s="1">
        <f t="shared" si="13"/>
        <v>5.9178069735096015</v>
      </c>
      <c r="K103" s="9">
        <f t="shared" si="14"/>
        <v>5.5</v>
      </c>
    </row>
    <row r="104" spans="1:11" x14ac:dyDescent="0.3">
      <c r="A104" s="8">
        <v>3</v>
      </c>
      <c r="B104" s="1">
        <v>175</v>
      </c>
      <c r="C104" s="1">
        <v>10</v>
      </c>
      <c r="D104" s="8">
        <v>485.80160000000001</v>
      </c>
      <c r="E104" s="1">
        <v>7.3</v>
      </c>
      <c r="G104" s="1">
        <f t="shared" si="10"/>
        <v>1.0986156219958876</v>
      </c>
      <c r="H104" s="1">
        <f t="shared" si="11"/>
        <v>5.1647859739235145</v>
      </c>
      <c r="I104" s="1">
        <f t="shared" si="12"/>
        <v>2.3025850929940459</v>
      </c>
      <c r="J104" s="1">
        <f t="shared" si="13"/>
        <v>6.1858003100990828</v>
      </c>
      <c r="K104" s="9">
        <f t="shared" si="14"/>
        <v>7.3</v>
      </c>
    </row>
    <row r="105" spans="1:11" x14ac:dyDescent="0.3">
      <c r="A105" s="8">
        <v>3</v>
      </c>
      <c r="B105" s="1">
        <v>150</v>
      </c>
      <c r="C105" s="1">
        <v>25</v>
      </c>
      <c r="D105" s="8">
        <v>367.10430000000002</v>
      </c>
      <c r="E105" s="1">
        <v>5.87</v>
      </c>
      <c r="G105" s="1">
        <f t="shared" si="10"/>
        <v>1.0986156219958876</v>
      </c>
      <c r="H105" s="1">
        <f t="shared" si="11"/>
        <v>5.0106352940962555</v>
      </c>
      <c r="I105" s="1">
        <f t="shared" si="12"/>
        <v>3.2188758248682006</v>
      </c>
      <c r="J105" s="1">
        <f t="shared" si="13"/>
        <v>5.9056460038637706</v>
      </c>
      <c r="K105" s="9">
        <f t="shared" si="14"/>
        <v>5.87</v>
      </c>
    </row>
    <row r="106" spans="1:11" x14ac:dyDescent="0.3">
      <c r="A106" s="8">
        <v>6</v>
      </c>
      <c r="B106" s="1">
        <v>150</v>
      </c>
      <c r="C106" s="1">
        <v>15</v>
      </c>
      <c r="D106" s="8">
        <v>257.28339999999997</v>
      </c>
      <c r="E106" s="1">
        <v>2.25</v>
      </c>
      <c r="G106" s="1">
        <f t="shared" si="10"/>
        <v>1.7917611358933327</v>
      </c>
      <c r="H106" s="1">
        <f t="shared" si="11"/>
        <v>5.0106352940962555</v>
      </c>
      <c r="I106" s="1">
        <f t="shared" si="12"/>
        <v>2.7080502011022101</v>
      </c>
      <c r="J106" s="1">
        <f t="shared" si="13"/>
        <v>5.5501782010774114</v>
      </c>
      <c r="K106" s="9">
        <f t="shared" si="14"/>
        <v>2.25</v>
      </c>
    </row>
    <row r="107" spans="1:11" x14ac:dyDescent="0.3">
      <c r="A107" s="8">
        <v>3</v>
      </c>
      <c r="B107" s="1">
        <v>150</v>
      </c>
      <c r="C107" s="1">
        <v>15</v>
      </c>
      <c r="D107" s="8">
        <v>488.11689999999999</v>
      </c>
      <c r="E107" s="1">
        <v>6.75</v>
      </c>
      <c r="G107" s="1">
        <f t="shared" si="10"/>
        <v>1.0986156219958876</v>
      </c>
      <c r="H107" s="1">
        <f t="shared" si="11"/>
        <v>5.0106352940962555</v>
      </c>
      <c r="I107" s="1">
        <f t="shared" si="12"/>
        <v>2.7080502011022101</v>
      </c>
      <c r="J107" s="1">
        <f t="shared" si="13"/>
        <v>6.1905549263461515</v>
      </c>
      <c r="K107" s="9">
        <f t="shared" si="14"/>
        <v>6.75</v>
      </c>
    </row>
    <row r="108" spans="1:11" x14ac:dyDescent="0.3">
      <c r="A108" s="8">
        <v>0</v>
      </c>
      <c r="B108" s="1">
        <v>200</v>
      </c>
      <c r="C108" s="1">
        <v>20</v>
      </c>
      <c r="D108" s="8">
        <v>254.50229999999999</v>
      </c>
      <c r="E108" s="1">
        <v>20.55</v>
      </c>
      <c r="G108" s="1">
        <f t="shared" si="10"/>
        <v>-11.512925464970229</v>
      </c>
      <c r="H108" s="1">
        <f t="shared" si="11"/>
        <v>5.2983173665480363</v>
      </c>
      <c r="I108" s="1">
        <f t="shared" si="12"/>
        <v>2.9957322735539909</v>
      </c>
      <c r="J108" s="1">
        <f t="shared" si="13"/>
        <v>5.5393098732778352</v>
      </c>
      <c r="K108" s="9">
        <f t="shared" si="14"/>
        <v>20.55</v>
      </c>
    </row>
    <row r="109" spans="1:11" x14ac:dyDescent="0.3">
      <c r="A109" s="8">
        <v>3</v>
      </c>
      <c r="B109" s="1">
        <v>150</v>
      </c>
      <c r="C109" s="1">
        <v>15</v>
      </c>
      <c r="D109" s="8">
        <v>364.91329999999999</v>
      </c>
      <c r="E109" s="1">
        <v>6.2</v>
      </c>
      <c r="G109" s="1">
        <f t="shared" si="10"/>
        <v>1.0986156219958876</v>
      </c>
      <c r="H109" s="1">
        <f t="shared" si="11"/>
        <v>5.0106352940962555</v>
      </c>
      <c r="I109" s="1">
        <f t="shared" si="12"/>
        <v>2.7080502011022101</v>
      </c>
      <c r="J109" s="1">
        <f t="shared" si="13"/>
        <v>5.8996597911201887</v>
      </c>
      <c r="K109" s="9">
        <f t="shared" si="14"/>
        <v>6.2</v>
      </c>
    </row>
    <row r="110" spans="1:11" x14ac:dyDescent="0.3">
      <c r="A110" s="8">
        <v>3</v>
      </c>
      <c r="B110" s="1">
        <v>150</v>
      </c>
      <c r="C110" s="1">
        <v>10</v>
      </c>
      <c r="D110" s="8">
        <v>248.43709999999999</v>
      </c>
      <c r="E110" s="1">
        <v>5.75</v>
      </c>
      <c r="G110" s="1">
        <f t="shared" si="10"/>
        <v>1.0986156219958876</v>
      </c>
      <c r="H110" s="1">
        <f t="shared" si="11"/>
        <v>5.0106352940962555</v>
      </c>
      <c r="I110" s="1">
        <f t="shared" si="12"/>
        <v>2.3025850929940459</v>
      </c>
      <c r="J110" s="1">
        <f t="shared" si="13"/>
        <v>5.5151896947844614</v>
      </c>
      <c r="K110" s="9">
        <f t="shared" si="14"/>
        <v>5.75</v>
      </c>
    </row>
    <row r="111" spans="1:11" x14ac:dyDescent="0.3">
      <c r="A111" s="8">
        <v>3</v>
      </c>
      <c r="B111" s="1">
        <v>125</v>
      </c>
      <c r="C111" s="1">
        <v>10</v>
      </c>
      <c r="D111" s="8">
        <v>375.2869</v>
      </c>
      <c r="E111" s="1">
        <v>6.35</v>
      </c>
      <c r="G111" s="1">
        <f t="shared" si="10"/>
        <v>1.0986156219958876</v>
      </c>
      <c r="H111" s="1">
        <f t="shared" si="11"/>
        <v>4.8283137373023015</v>
      </c>
      <c r="I111" s="1">
        <f t="shared" si="12"/>
        <v>2.3025850929940459</v>
      </c>
      <c r="J111" s="1">
        <f t="shared" si="13"/>
        <v>5.9276908001227611</v>
      </c>
      <c r="K111" s="9">
        <f t="shared" si="14"/>
        <v>6.35</v>
      </c>
    </row>
    <row r="112" spans="1:11" x14ac:dyDescent="0.3">
      <c r="A112" s="8">
        <v>6</v>
      </c>
      <c r="B112" s="1">
        <v>150</v>
      </c>
      <c r="C112" s="1">
        <v>25</v>
      </c>
      <c r="D112" s="8">
        <v>363.5249</v>
      </c>
      <c r="E112" s="1">
        <v>2.6</v>
      </c>
      <c r="G112" s="1">
        <f t="shared" si="10"/>
        <v>1.7917611358933327</v>
      </c>
      <c r="H112" s="1">
        <f t="shared" si="11"/>
        <v>5.0106352940962555</v>
      </c>
      <c r="I112" s="1">
        <f t="shared" si="12"/>
        <v>3.2188758248682006</v>
      </c>
      <c r="J112" s="1">
        <f t="shared" si="13"/>
        <v>5.8958477953152668</v>
      </c>
      <c r="K112" s="9">
        <f t="shared" si="14"/>
        <v>2.6</v>
      </c>
    </row>
    <row r="113" spans="1:11" x14ac:dyDescent="0.3">
      <c r="A113" s="8">
        <v>3</v>
      </c>
      <c r="B113" s="1">
        <v>175</v>
      </c>
      <c r="C113" s="1">
        <v>15</v>
      </c>
      <c r="D113" s="8">
        <v>260.21719999999999</v>
      </c>
      <c r="E113" s="1">
        <v>5.6971032749999999</v>
      </c>
      <c r="G113" s="1">
        <f t="shared" si="10"/>
        <v>1.0986156219958876</v>
      </c>
      <c r="H113" s="1">
        <f t="shared" si="11"/>
        <v>5.1647859739235145</v>
      </c>
      <c r="I113" s="1">
        <f t="shared" si="12"/>
        <v>2.7080502011022101</v>
      </c>
      <c r="J113" s="1">
        <f t="shared" si="13"/>
        <v>5.561516666891392</v>
      </c>
      <c r="K113" s="9">
        <f t="shared" si="14"/>
        <v>5.6971032749999999</v>
      </c>
    </row>
    <row r="114" spans="1:11" x14ac:dyDescent="0.3">
      <c r="A114" s="8">
        <v>3</v>
      </c>
      <c r="B114" s="1">
        <v>175</v>
      </c>
      <c r="C114" s="1">
        <v>25</v>
      </c>
      <c r="D114" s="8">
        <v>383.9289</v>
      </c>
      <c r="E114" s="1">
        <v>6.15</v>
      </c>
      <c r="G114" s="1">
        <f t="shared" si="10"/>
        <v>1.0986156219958876</v>
      </c>
      <c r="H114" s="1">
        <f t="shared" si="11"/>
        <v>5.1647859739235145</v>
      </c>
      <c r="I114" s="1">
        <f t="shared" si="12"/>
        <v>3.2188758248682006</v>
      </c>
      <c r="J114" s="1">
        <f t="shared" si="13"/>
        <v>5.9504573791941926</v>
      </c>
      <c r="K114" s="9">
        <f t="shared" si="14"/>
        <v>6.15</v>
      </c>
    </row>
    <row r="115" spans="1:11" x14ac:dyDescent="0.3">
      <c r="A115" s="8">
        <v>6</v>
      </c>
      <c r="B115" s="1">
        <v>150</v>
      </c>
      <c r="C115" s="1">
        <v>5</v>
      </c>
      <c r="D115" s="8">
        <v>376.35989999999998</v>
      </c>
      <c r="E115" s="1">
        <v>3.75</v>
      </c>
      <c r="G115" s="1">
        <f t="shared" si="10"/>
        <v>1.7917611358933327</v>
      </c>
      <c r="H115" s="1">
        <f t="shared" si="11"/>
        <v>5.0106352940962555</v>
      </c>
      <c r="I115" s="1">
        <f t="shared" si="12"/>
        <v>1.6094379124341003</v>
      </c>
      <c r="J115" s="1">
        <f t="shared" si="13"/>
        <v>5.9305458664354793</v>
      </c>
      <c r="K115" s="9">
        <f t="shared" si="14"/>
        <v>3.75</v>
      </c>
    </row>
    <row r="116" spans="1:11" x14ac:dyDescent="0.3">
      <c r="A116" s="8">
        <v>6</v>
      </c>
      <c r="B116" s="1">
        <v>100</v>
      </c>
      <c r="C116" s="1">
        <v>20</v>
      </c>
      <c r="D116" s="8">
        <v>497.9375</v>
      </c>
      <c r="E116" s="1">
        <v>2.75</v>
      </c>
      <c r="G116" s="1">
        <f t="shared" si="10"/>
        <v>1.7917611358933327</v>
      </c>
      <c r="H116" s="1">
        <f t="shared" si="11"/>
        <v>4.6051701859880918</v>
      </c>
      <c r="I116" s="1">
        <f t="shared" si="12"/>
        <v>2.9957322735539909</v>
      </c>
      <c r="J116" s="1">
        <f t="shared" si="13"/>
        <v>6.2104745671405848</v>
      </c>
      <c r="K116" s="9">
        <f t="shared" si="14"/>
        <v>2.75</v>
      </c>
    </row>
    <row r="117" spans="1:11" x14ac:dyDescent="0.3">
      <c r="A117" s="8">
        <v>3</v>
      </c>
      <c r="B117" s="1">
        <v>100</v>
      </c>
      <c r="C117" s="1">
        <v>10</v>
      </c>
      <c r="D117" s="8">
        <v>370.64800000000002</v>
      </c>
      <c r="E117" s="1">
        <v>6.05</v>
      </c>
      <c r="G117" s="1">
        <f t="shared" si="10"/>
        <v>1.0986156219958876</v>
      </c>
      <c r="H117" s="1">
        <f t="shared" si="11"/>
        <v>4.6051701859880918</v>
      </c>
      <c r="I117" s="1">
        <f t="shared" si="12"/>
        <v>2.3025850929940459</v>
      </c>
      <c r="J117" s="1">
        <f t="shared" si="13"/>
        <v>5.9152528251620948</v>
      </c>
      <c r="K117" s="9">
        <f t="shared" si="14"/>
        <v>6.05</v>
      </c>
    </row>
    <row r="118" spans="1:11" x14ac:dyDescent="0.3">
      <c r="A118" s="8">
        <v>6</v>
      </c>
      <c r="B118" s="1">
        <v>175</v>
      </c>
      <c r="C118" s="1">
        <v>10</v>
      </c>
      <c r="D118" s="8">
        <v>378.93090000000001</v>
      </c>
      <c r="E118" s="1">
        <v>3.4</v>
      </c>
      <c r="G118" s="1">
        <f t="shared" si="10"/>
        <v>1.7917611358933327</v>
      </c>
      <c r="H118" s="1">
        <f t="shared" si="11"/>
        <v>5.1647859739235145</v>
      </c>
      <c r="I118" s="1">
        <f t="shared" si="12"/>
        <v>2.3025850929940459</v>
      </c>
      <c r="J118" s="1">
        <f t="shared" si="13"/>
        <v>5.9373538665600325</v>
      </c>
      <c r="K118" s="9">
        <f t="shared" si="14"/>
        <v>3.4</v>
      </c>
    </row>
    <row r="119" spans="1:11" x14ac:dyDescent="0.3">
      <c r="A119" s="8">
        <v>3</v>
      </c>
      <c r="B119" s="1">
        <v>150</v>
      </c>
      <c r="C119" s="1">
        <v>20</v>
      </c>
      <c r="D119" s="8">
        <v>459.05889999999999</v>
      </c>
      <c r="E119" s="1">
        <v>6.5</v>
      </c>
      <c r="G119" s="1">
        <f t="shared" si="10"/>
        <v>1.0986156219958876</v>
      </c>
      <c r="H119" s="1">
        <f t="shared" si="11"/>
        <v>5.0106352940962555</v>
      </c>
      <c r="I119" s="1">
        <f t="shared" si="12"/>
        <v>2.9957322735539909</v>
      </c>
      <c r="J119" s="1">
        <f t="shared" si="13"/>
        <v>6.1291785242680126</v>
      </c>
      <c r="K119" s="9">
        <f t="shared" si="14"/>
        <v>6.5</v>
      </c>
    </row>
    <row r="120" spans="1:11" x14ac:dyDescent="0.3">
      <c r="A120" s="8">
        <v>0</v>
      </c>
      <c r="B120" s="1">
        <v>100</v>
      </c>
      <c r="C120" s="1">
        <v>10</v>
      </c>
      <c r="D120" s="8">
        <v>361.72430000000003</v>
      </c>
      <c r="E120" s="1">
        <v>20.8</v>
      </c>
      <c r="G120" s="1">
        <f t="shared" si="10"/>
        <v>-11.512925464970229</v>
      </c>
      <c r="H120" s="1">
        <f t="shared" si="11"/>
        <v>4.6051701859880918</v>
      </c>
      <c r="I120" s="1">
        <f t="shared" si="12"/>
        <v>2.3025850929940459</v>
      </c>
      <c r="J120" s="1">
        <f t="shared" si="13"/>
        <v>5.8908823194495268</v>
      </c>
      <c r="K120" s="9">
        <f t="shared" si="14"/>
        <v>20.8</v>
      </c>
    </row>
    <row r="121" spans="1:11" x14ac:dyDescent="0.3">
      <c r="A121" s="8">
        <v>0</v>
      </c>
      <c r="B121" s="1">
        <v>175</v>
      </c>
      <c r="C121" s="1">
        <v>10</v>
      </c>
      <c r="D121" s="8">
        <v>367.74810000000002</v>
      </c>
      <c r="E121" s="1">
        <v>25.05</v>
      </c>
      <c r="G121" s="1">
        <f t="shared" si="10"/>
        <v>-11.512925464970229</v>
      </c>
      <c r="H121" s="1">
        <f t="shared" si="11"/>
        <v>5.1647859739235145</v>
      </c>
      <c r="I121" s="1">
        <f t="shared" si="12"/>
        <v>2.3025850929940459</v>
      </c>
      <c r="J121" s="1">
        <f t="shared" si="13"/>
        <v>5.9073981929148349</v>
      </c>
      <c r="K121" s="9">
        <f t="shared" si="14"/>
        <v>25.05</v>
      </c>
    </row>
    <row r="122" spans="1:11" x14ac:dyDescent="0.3">
      <c r="A122" s="8">
        <v>0</v>
      </c>
      <c r="B122" s="1">
        <v>100</v>
      </c>
      <c r="C122" s="1">
        <v>25</v>
      </c>
      <c r="D122" s="8">
        <v>244.96369999999999</v>
      </c>
      <c r="E122" s="1">
        <v>14.45</v>
      </c>
      <c r="G122" s="1">
        <f t="shared" si="10"/>
        <v>-11.512925464970229</v>
      </c>
      <c r="H122" s="1">
        <f t="shared" si="11"/>
        <v>4.6051701859880918</v>
      </c>
      <c r="I122" s="1">
        <f t="shared" si="12"/>
        <v>3.2188758248682006</v>
      </c>
      <c r="J122" s="1">
        <f t="shared" si="13"/>
        <v>5.5011100363021601</v>
      </c>
      <c r="K122" s="9">
        <f t="shared" si="14"/>
        <v>14.45</v>
      </c>
    </row>
    <row r="123" spans="1:11" x14ac:dyDescent="0.3">
      <c r="A123" s="8">
        <v>0</v>
      </c>
      <c r="B123" s="1">
        <v>175</v>
      </c>
      <c r="C123" s="1">
        <v>25</v>
      </c>
      <c r="D123" s="8">
        <v>514.0222</v>
      </c>
      <c r="E123" s="1">
        <v>23.8</v>
      </c>
      <c r="G123" s="1">
        <f t="shared" si="10"/>
        <v>-11.512925464970229</v>
      </c>
      <c r="H123" s="1">
        <f t="shared" si="11"/>
        <v>5.1647859739235145</v>
      </c>
      <c r="I123" s="1">
        <f t="shared" si="12"/>
        <v>3.2188758248682006</v>
      </c>
      <c r="J123" s="1">
        <f t="shared" si="13"/>
        <v>6.2422664551839535</v>
      </c>
      <c r="K123" s="9">
        <f t="shared" si="14"/>
        <v>23.8</v>
      </c>
    </row>
    <row r="124" spans="1:11" x14ac:dyDescent="0.3">
      <c r="A124" s="8">
        <v>6</v>
      </c>
      <c r="B124" s="1">
        <v>150</v>
      </c>
      <c r="C124" s="1">
        <v>25</v>
      </c>
      <c r="D124" s="8">
        <v>252.84610000000001</v>
      </c>
      <c r="E124" s="1">
        <v>2</v>
      </c>
      <c r="G124" s="1">
        <f t="shared" si="10"/>
        <v>1.7917611358933327</v>
      </c>
      <c r="H124" s="1">
        <f t="shared" si="11"/>
        <v>5.0106352940962555</v>
      </c>
      <c r="I124" s="1">
        <f t="shared" si="12"/>
        <v>3.2188758248682006</v>
      </c>
      <c r="J124" s="1">
        <f t="shared" si="13"/>
        <v>5.5327810032425138</v>
      </c>
      <c r="K124" s="9">
        <f t="shared" si="14"/>
        <v>2</v>
      </c>
    </row>
    <row r="125" spans="1:11" x14ac:dyDescent="0.3">
      <c r="A125" s="8">
        <v>3</v>
      </c>
      <c r="B125" s="1">
        <v>175</v>
      </c>
      <c r="C125" s="1">
        <v>20</v>
      </c>
      <c r="D125" s="8">
        <v>378.62360000000001</v>
      </c>
      <c r="E125" s="1">
        <v>6.25</v>
      </c>
      <c r="G125" s="1">
        <f t="shared" si="10"/>
        <v>1.0986156219958876</v>
      </c>
      <c r="H125" s="1">
        <f t="shared" si="11"/>
        <v>5.1647859739235145</v>
      </c>
      <c r="I125" s="1">
        <f t="shared" si="12"/>
        <v>2.9957322735539909</v>
      </c>
      <c r="J125" s="1">
        <f t="shared" si="13"/>
        <v>5.9365425717506017</v>
      </c>
      <c r="K125" s="9">
        <f t="shared" si="14"/>
        <v>6.25</v>
      </c>
    </row>
    <row r="126" spans="1:11" x14ac:dyDescent="0.3">
      <c r="A126" s="8">
        <v>6</v>
      </c>
      <c r="B126" s="1">
        <v>175</v>
      </c>
      <c r="C126" s="1">
        <v>5</v>
      </c>
      <c r="D126" s="8">
        <v>367.21199999999999</v>
      </c>
      <c r="E126" s="1">
        <v>3.85</v>
      </c>
      <c r="G126" s="1">
        <f t="shared" si="10"/>
        <v>1.7917611358933327</v>
      </c>
      <c r="H126" s="1">
        <f t="shared" si="11"/>
        <v>5.1647859739235145</v>
      </c>
      <c r="I126" s="1">
        <f t="shared" si="12"/>
        <v>1.6094379124341003</v>
      </c>
      <c r="J126" s="1">
        <f t="shared" si="13"/>
        <v>5.9059393379509268</v>
      </c>
      <c r="K126" s="9">
        <f t="shared" si="14"/>
        <v>3.85</v>
      </c>
    </row>
    <row r="127" spans="1:11" x14ac:dyDescent="0.3">
      <c r="A127" s="8">
        <v>6</v>
      </c>
      <c r="B127" s="1">
        <v>150</v>
      </c>
      <c r="C127" s="1">
        <v>15</v>
      </c>
      <c r="D127" s="8">
        <v>373.6465</v>
      </c>
      <c r="E127" s="1">
        <v>2.95</v>
      </c>
      <c r="G127" s="1">
        <f t="shared" si="10"/>
        <v>1.7917611358933327</v>
      </c>
      <c r="H127" s="1">
        <f t="shared" si="11"/>
        <v>5.0106352940962555</v>
      </c>
      <c r="I127" s="1">
        <f t="shared" si="12"/>
        <v>2.7080502011022101</v>
      </c>
      <c r="J127" s="1">
        <f t="shared" si="13"/>
        <v>5.9233101632776979</v>
      </c>
      <c r="K127" s="9">
        <f t="shared" si="14"/>
        <v>2.95</v>
      </c>
    </row>
    <row r="128" spans="1:11" x14ac:dyDescent="0.3">
      <c r="A128" s="8">
        <v>0</v>
      </c>
      <c r="B128" s="1">
        <v>100</v>
      </c>
      <c r="C128" s="1">
        <v>25</v>
      </c>
      <c r="D128" s="8">
        <v>502.90159999999997</v>
      </c>
      <c r="E128" s="1">
        <v>18.149999999999999</v>
      </c>
      <c r="G128" s="1">
        <f t="shared" si="10"/>
        <v>-11.512925464970229</v>
      </c>
      <c r="H128" s="1">
        <f t="shared" si="11"/>
        <v>4.6051701859880918</v>
      </c>
      <c r="I128" s="1">
        <f t="shared" si="12"/>
        <v>3.2188758248682006</v>
      </c>
      <c r="J128" s="1">
        <f t="shared" si="13"/>
        <v>6.2203945247198851</v>
      </c>
      <c r="K128" s="9">
        <f t="shared" si="14"/>
        <v>18.149999999999999</v>
      </c>
    </row>
    <row r="129" spans="1:11" x14ac:dyDescent="0.3">
      <c r="A129" s="8">
        <v>0</v>
      </c>
      <c r="B129" s="1">
        <v>200</v>
      </c>
      <c r="C129" s="1">
        <v>25</v>
      </c>
      <c r="D129" s="8">
        <v>513.92570000000001</v>
      </c>
      <c r="E129" s="1">
        <v>25.05</v>
      </c>
      <c r="G129" s="1">
        <f t="shared" si="10"/>
        <v>-11.512925464970229</v>
      </c>
      <c r="H129" s="1">
        <f t="shared" si="11"/>
        <v>5.2983173665480363</v>
      </c>
      <c r="I129" s="1">
        <f t="shared" si="12"/>
        <v>3.2188758248682006</v>
      </c>
      <c r="J129" s="1">
        <f t="shared" si="13"/>
        <v>6.2420787024772588</v>
      </c>
      <c r="K129" s="9">
        <f t="shared" si="14"/>
        <v>25.05</v>
      </c>
    </row>
    <row r="130" spans="1:11" x14ac:dyDescent="0.3">
      <c r="A130" s="8">
        <v>0</v>
      </c>
      <c r="B130" s="1">
        <v>150</v>
      </c>
      <c r="C130" s="1">
        <v>5</v>
      </c>
      <c r="D130" s="8">
        <v>376.15719999999999</v>
      </c>
      <c r="E130" s="1">
        <v>24.7</v>
      </c>
      <c r="G130" s="1">
        <f t="shared" si="10"/>
        <v>-11.512925464970229</v>
      </c>
      <c r="H130" s="1">
        <f t="shared" si="11"/>
        <v>5.0106352940962555</v>
      </c>
      <c r="I130" s="1">
        <f t="shared" si="12"/>
        <v>1.6094379124341003</v>
      </c>
      <c r="J130" s="1">
        <f t="shared" si="13"/>
        <v>5.9300071411230517</v>
      </c>
      <c r="K130" s="9">
        <f t="shared" si="14"/>
        <v>24.7</v>
      </c>
    </row>
    <row r="131" spans="1:11" x14ac:dyDescent="0.3">
      <c r="A131" s="8">
        <v>3</v>
      </c>
      <c r="B131" s="1">
        <v>125</v>
      </c>
      <c r="C131" s="1">
        <v>15</v>
      </c>
      <c r="D131" s="8">
        <v>248.44069999999999</v>
      </c>
      <c r="E131" s="1">
        <v>5.298387097</v>
      </c>
      <c r="G131" s="1">
        <f t="shared" si="10"/>
        <v>1.0986156219958876</v>
      </c>
      <c r="H131" s="1">
        <f t="shared" si="11"/>
        <v>4.8283137373023015</v>
      </c>
      <c r="I131" s="1">
        <f t="shared" si="12"/>
        <v>2.7080502011022101</v>
      </c>
      <c r="J131" s="1">
        <f t="shared" si="13"/>
        <v>5.5152041852688427</v>
      </c>
      <c r="K131" s="9">
        <f t="shared" si="14"/>
        <v>5.298387097</v>
      </c>
    </row>
    <row r="132" spans="1:11" x14ac:dyDescent="0.3">
      <c r="A132" s="8">
        <v>3</v>
      </c>
      <c r="B132" s="1">
        <v>200</v>
      </c>
      <c r="C132" s="1">
        <v>20</v>
      </c>
      <c r="D132" s="8">
        <v>507.69319999999999</v>
      </c>
      <c r="E132" s="1">
        <v>7</v>
      </c>
      <c r="G132" s="1">
        <f t="shared" si="10"/>
        <v>1.0986156219958876</v>
      </c>
      <c r="H132" s="1">
        <f t="shared" si="11"/>
        <v>5.2983173665480363</v>
      </c>
      <c r="I132" s="1">
        <f t="shared" si="12"/>
        <v>2.9957322735539909</v>
      </c>
      <c r="J132" s="1">
        <f t="shared" si="13"/>
        <v>6.2298773281271931</v>
      </c>
      <c r="K132" s="9">
        <f t="shared" si="14"/>
        <v>7</v>
      </c>
    </row>
    <row r="133" spans="1:11" x14ac:dyDescent="0.3">
      <c r="A133" s="8">
        <v>6</v>
      </c>
      <c r="B133" s="1">
        <v>200</v>
      </c>
      <c r="C133" s="1">
        <v>25</v>
      </c>
      <c r="D133" s="8">
        <v>505.39729999999997</v>
      </c>
      <c r="E133" s="1">
        <v>3.5</v>
      </c>
      <c r="G133" s="1">
        <f t="shared" si="10"/>
        <v>1.7917611358933327</v>
      </c>
      <c r="H133" s="1">
        <f t="shared" si="11"/>
        <v>5.2983173665480363</v>
      </c>
      <c r="I133" s="1">
        <f t="shared" si="12"/>
        <v>3.2188758248682006</v>
      </c>
      <c r="J133" s="1">
        <f t="shared" si="13"/>
        <v>6.225344852636697</v>
      </c>
      <c r="K133" s="9">
        <f t="shared" si="14"/>
        <v>3.5</v>
      </c>
    </row>
    <row r="134" spans="1:11" x14ac:dyDescent="0.3">
      <c r="A134" s="8">
        <v>3</v>
      </c>
      <c r="B134" s="1">
        <v>100</v>
      </c>
      <c r="C134" s="1">
        <v>5</v>
      </c>
      <c r="D134" s="8">
        <v>505.78280000000001</v>
      </c>
      <c r="E134" s="1">
        <v>7.2</v>
      </c>
      <c r="G134" s="1">
        <f t="shared" si="10"/>
        <v>1.0986156219958876</v>
      </c>
      <c r="H134" s="1">
        <f t="shared" si="11"/>
        <v>4.6051701859880918</v>
      </c>
      <c r="I134" s="1">
        <f t="shared" si="12"/>
        <v>1.6094379124341003</v>
      </c>
      <c r="J134" s="1">
        <f t="shared" si="13"/>
        <v>6.2261073281218788</v>
      </c>
      <c r="K134" s="9">
        <f t="shared" si="14"/>
        <v>7.2</v>
      </c>
    </row>
    <row r="135" spans="1:11" x14ac:dyDescent="0.3">
      <c r="A135" s="8">
        <v>6</v>
      </c>
      <c r="B135" s="1">
        <v>175</v>
      </c>
      <c r="C135" s="1">
        <v>10</v>
      </c>
      <c r="D135" s="8">
        <v>259.05180000000001</v>
      </c>
      <c r="E135" s="1">
        <v>2.65</v>
      </c>
      <c r="G135" s="1">
        <f t="shared" si="10"/>
        <v>1.7917611358933327</v>
      </c>
      <c r="H135" s="1">
        <f t="shared" si="11"/>
        <v>5.1647859739235145</v>
      </c>
      <c r="I135" s="1">
        <f t="shared" si="12"/>
        <v>2.3025850929940459</v>
      </c>
      <c r="J135" s="1">
        <f t="shared" si="13"/>
        <v>5.5570280417022042</v>
      </c>
      <c r="K135" s="9">
        <f t="shared" si="14"/>
        <v>2.65</v>
      </c>
    </row>
    <row r="136" spans="1:11" x14ac:dyDescent="0.3">
      <c r="A136" s="8">
        <v>0</v>
      </c>
      <c r="B136" s="1">
        <v>125</v>
      </c>
      <c r="C136" s="1">
        <v>20</v>
      </c>
      <c r="D136" s="8">
        <v>257.28530000000001</v>
      </c>
      <c r="E136" s="1">
        <v>17.25</v>
      </c>
      <c r="G136" s="1">
        <f t="shared" si="10"/>
        <v>-11.512925464970229</v>
      </c>
      <c r="H136" s="1">
        <f t="shared" si="11"/>
        <v>4.8283137373023015</v>
      </c>
      <c r="I136" s="1">
        <f t="shared" si="12"/>
        <v>2.9957322735539909</v>
      </c>
      <c r="J136" s="1">
        <f t="shared" si="13"/>
        <v>5.5501855859028</v>
      </c>
      <c r="K136" s="9">
        <f t="shared" si="14"/>
        <v>17.25</v>
      </c>
    </row>
    <row r="137" spans="1:11" x14ac:dyDescent="0.3">
      <c r="A137" s="8">
        <v>0</v>
      </c>
      <c r="B137" s="1">
        <v>200</v>
      </c>
      <c r="C137" s="1">
        <v>5</v>
      </c>
      <c r="D137" s="8">
        <v>498.62639999999999</v>
      </c>
      <c r="E137" s="1">
        <v>30</v>
      </c>
      <c r="G137" s="1">
        <f t="shared" si="10"/>
        <v>-11.512925464970229</v>
      </c>
      <c r="H137" s="1">
        <f t="shared" si="11"/>
        <v>5.2983173665480363</v>
      </c>
      <c r="I137" s="1">
        <f t="shared" si="12"/>
        <v>1.6094379124341003</v>
      </c>
      <c r="J137" s="1">
        <f t="shared" si="13"/>
        <v>6.2118571179428628</v>
      </c>
      <c r="K137" s="9">
        <f t="shared" si="14"/>
        <v>30</v>
      </c>
    </row>
    <row r="138" spans="1:11" x14ac:dyDescent="0.3">
      <c r="A138" s="8">
        <v>0</v>
      </c>
      <c r="B138" s="1">
        <v>200</v>
      </c>
      <c r="C138" s="1">
        <v>15</v>
      </c>
      <c r="D138" s="8">
        <v>377.87099999999998</v>
      </c>
      <c r="E138" s="1">
        <v>24.85</v>
      </c>
      <c r="G138" s="1">
        <f t="shared" si="10"/>
        <v>-11.512925464970229</v>
      </c>
      <c r="H138" s="1">
        <f t="shared" si="11"/>
        <v>5.2983173665480363</v>
      </c>
      <c r="I138" s="1">
        <f t="shared" si="12"/>
        <v>2.7080502011022101</v>
      </c>
      <c r="J138" s="1">
        <f t="shared" si="13"/>
        <v>5.9345528675325134</v>
      </c>
      <c r="K138" s="9">
        <f t="shared" si="14"/>
        <v>24.85</v>
      </c>
    </row>
    <row r="139" spans="1:11" x14ac:dyDescent="0.3">
      <c r="A139" s="8">
        <v>3</v>
      </c>
      <c r="B139" s="1">
        <v>100</v>
      </c>
      <c r="C139" s="1">
        <v>10</v>
      </c>
      <c r="D139" s="8">
        <v>255.50219999999999</v>
      </c>
      <c r="E139" s="1">
        <v>5.3</v>
      </c>
      <c r="G139" s="1">
        <f t="shared" si="10"/>
        <v>1.0986156219958876</v>
      </c>
      <c r="H139" s="1">
        <f t="shared" si="11"/>
        <v>4.6051701859880918</v>
      </c>
      <c r="I139" s="1">
        <f t="shared" si="12"/>
        <v>2.3025850929940459</v>
      </c>
      <c r="J139" s="1">
        <f t="shared" si="13"/>
        <v>5.5432310201742032</v>
      </c>
      <c r="K139" s="9">
        <f t="shared" si="14"/>
        <v>5.3</v>
      </c>
    </row>
    <row r="140" spans="1:11" x14ac:dyDescent="0.3">
      <c r="A140" s="8">
        <v>3</v>
      </c>
      <c r="B140" s="1">
        <v>200</v>
      </c>
      <c r="C140" s="1">
        <v>5</v>
      </c>
      <c r="D140" s="8">
        <v>256.71800000000002</v>
      </c>
      <c r="E140" s="1">
        <v>6.42</v>
      </c>
      <c r="G140" s="1">
        <f t="shared" si="10"/>
        <v>1.0986156219958876</v>
      </c>
      <c r="H140" s="1">
        <f t="shared" si="11"/>
        <v>5.2983173665480363</v>
      </c>
      <c r="I140" s="1">
        <f t="shared" si="12"/>
        <v>1.6094379124341003</v>
      </c>
      <c r="J140" s="1">
        <f t="shared" si="13"/>
        <v>5.547978206182286</v>
      </c>
      <c r="K140" s="9">
        <f t="shared" si="14"/>
        <v>6.42</v>
      </c>
    </row>
    <row r="141" spans="1:11" x14ac:dyDescent="0.3">
      <c r="A141" s="8">
        <v>0</v>
      </c>
      <c r="B141" s="1">
        <v>125</v>
      </c>
      <c r="C141" s="1">
        <v>5</v>
      </c>
      <c r="D141" s="8">
        <v>509.83139999999997</v>
      </c>
      <c r="E141" s="1">
        <v>26.2</v>
      </c>
      <c r="G141" s="1">
        <f t="shared" ref="G141:G181" si="15">LN(A141+0.00001)</f>
        <v>-11.512925464970229</v>
      </c>
      <c r="H141" s="1">
        <f t="shared" ref="H141:H181" si="16">LN(B141)</f>
        <v>4.8283137373023015</v>
      </c>
      <c r="I141" s="1">
        <f t="shared" ref="I141:I181" si="17">LN(C141)</f>
        <v>1.6094379124341003</v>
      </c>
      <c r="J141" s="1">
        <f t="shared" ref="J141:J181" si="18">LN(D141)</f>
        <v>6.2340800828267406</v>
      </c>
      <c r="K141" s="9">
        <f t="shared" ref="K141:K181" si="19">E141</f>
        <v>26.2</v>
      </c>
    </row>
    <row r="142" spans="1:11" x14ac:dyDescent="0.3">
      <c r="A142" s="8">
        <v>6</v>
      </c>
      <c r="B142" s="1">
        <v>175</v>
      </c>
      <c r="C142" s="1">
        <v>15</v>
      </c>
      <c r="D142" s="8">
        <v>368.05430000000001</v>
      </c>
      <c r="E142" s="1">
        <v>3.1</v>
      </c>
      <c r="G142" s="1">
        <f t="shared" si="15"/>
        <v>1.7917611358933327</v>
      </c>
      <c r="H142" s="1">
        <f t="shared" si="16"/>
        <v>5.1647859739235145</v>
      </c>
      <c r="I142" s="1">
        <f t="shared" si="17"/>
        <v>2.7080502011022101</v>
      </c>
      <c r="J142" s="1">
        <f t="shared" si="18"/>
        <v>5.9082304816316853</v>
      </c>
      <c r="K142" s="9">
        <f t="shared" si="19"/>
        <v>3.1</v>
      </c>
    </row>
    <row r="143" spans="1:11" x14ac:dyDescent="0.3">
      <c r="A143" s="8">
        <v>0</v>
      </c>
      <c r="B143" s="1">
        <v>175</v>
      </c>
      <c r="C143" s="1">
        <v>15</v>
      </c>
      <c r="D143" s="8">
        <v>509.19470000000001</v>
      </c>
      <c r="E143" s="1">
        <v>26.6</v>
      </c>
      <c r="G143" s="1">
        <f t="shared" si="15"/>
        <v>-11.512925464970229</v>
      </c>
      <c r="H143" s="1">
        <f t="shared" si="16"/>
        <v>5.1647859739235145</v>
      </c>
      <c r="I143" s="1">
        <f t="shared" si="17"/>
        <v>2.7080502011022101</v>
      </c>
      <c r="J143" s="1">
        <f t="shared" si="18"/>
        <v>6.2328304581451865</v>
      </c>
      <c r="K143" s="9">
        <f t="shared" si="19"/>
        <v>26.6</v>
      </c>
    </row>
    <row r="144" spans="1:11" x14ac:dyDescent="0.3">
      <c r="A144" s="8">
        <v>0</v>
      </c>
      <c r="B144" s="1">
        <v>100</v>
      </c>
      <c r="C144" s="1">
        <v>5</v>
      </c>
      <c r="D144" s="8">
        <v>249.89099999999999</v>
      </c>
      <c r="E144" s="1">
        <v>19.25</v>
      </c>
      <c r="G144" s="1">
        <f t="shared" si="15"/>
        <v>-11.512925464970229</v>
      </c>
      <c r="H144" s="1">
        <f t="shared" si="16"/>
        <v>4.6051701859880918</v>
      </c>
      <c r="I144" s="1">
        <f t="shared" si="17"/>
        <v>1.6094379124341003</v>
      </c>
      <c r="J144" s="1">
        <f t="shared" si="18"/>
        <v>5.5210248227866101</v>
      </c>
      <c r="K144" s="9">
        <f t="shared" si="19"/>
        <v>19.25</v>
      </c>
    </row>
    <row r="145" spans="1:11" x14ac:dyDescent="0.3">
      <c r="A145" s="8">
        <v>0</v>
      </c>
      <c r="B145" s="1">
        <v>150</v>
      </c>
      <c r="C145" s="1">
        <v>25</v>
      </c>
      <c r="D145" s="8">
        <v>374.36410000000001</v>
      </c>
      <c r="E145" s="1">
        <v>19.850000000000001</v>
      </c>
      <c r="G145" s="1">
        <f t="shared" si="15"/>
        <v>-11.512925464970229</v>
      </c>
      <c r="H145" s="1">
        <f t="shared" si="16"/>
        <v>5.0106352940962555</v>
      </c>
      <c r="I145" s="1">
        <f t="shared" si="17"/>
        <v>3.2188758248682006</v>
      </c>
      <c r="J145" s="1">
        <f t="shared" si="18"/>
        <v>5.9252288532538717</v>
      </c>
      <c r="K145" s="9">
        <f t="shared" si="19"/>
        <v>19.850000000000001</v>
      </c>
    </row>
    <row r="146" spans="1:11" x14ac:dyDescent="0.3">
      <c r="A146" s="8">
        <v>3</v>
      </c>
      <c r="B146" s="1">
        <v>175</v>
      </c>
      <c r="C146" s="1">
        <v>25</v>
      </c>
      <c r="D146" s="8">
        <v>491.58769999999998</v>
      </c>
      <c r="E146" s="1">
        <v>6.65</v>
      </c>
      <c r="G146" s="1">
        <f t="shared" si="15"/>
        <v>1.0986156219958876</v>
      </c>
      <c r="H146" s="1">
        <f t="shared" si="16"/>
        <v>5.1647859739235145</v>
      </c>
      <c r="I146" s="1">
        <f t="shared" si="17"/>
        <v>3.2188758248682006</v>
      </c>
      <c r="J146" s="1">
        <f t="shared" si="18"/>
        <v>6.1976403570371241</v>
      </c>
      <c r="K146" s="9">
        <f t="shared" si="19"/>
        <v>6.65</v>
      </c>
    </row>
    <row r="147" spans="1:11" x14ac:dyDescent="0.3">
      <c r="A147" s="8">
        <v>6</v>
      </c>
      <c r="B147" s="1">
        <v>200</v>
      </c>
      <c r="C147" s="1">
        <v>5</v>
      </c>
      <c r="D147" s="8">
        <v>361.68939999999998</v>
      </c>
      <c r="E147" s="1">
        <v>3.97</v>
      </c>
      <c r="G147" s="1">
        <f t="shared" si="15"/>
        <v>1.7917611358933327</v>
      </c>
      <c r="H147" s="1">
        <f t="shared" si="16"/>
        <v>5.2983173665480363</v>
      </c>
      <c r="I147" s="1">
        <f t="shared" si="17"/>
        <v>1.6094379124341003</v>
      </c>
      <c r="J147" s="1">
        <f t="shared" si="18"/>
        <v>5.8907858324738802</v>
      </c>
      <c r="K147" s="9">
        <f t="shared" si="19"/>
        <v>3.97</v>
      </c>
    </row>
    <row r="148" spans="1:11" x14ac:dyDescent="0.3">
      <c r="A148" s="8">
        <v>3</v>
      </c>
      <c r="B148" s="1">
        <v>150</v>
      </c>
      <c r="C148" s="1">
        <v>20</v>
      </c>
      <c r="D148" s="8">
        <v>382.66539999999998</v>
      </c>
      <c r="E148" s="1">
        <v>6</v>
      </c>
      <c r="G148" s="1">
        <f t="shared" si="15"/>
        <v>1.0986156219958876</v>
      </c>
      <c r="H148" s="1">
        <f t="shared" si="16"/>
        <v>5.0106352940962555</v>
      </c>
      <c r="I148" s="1">
        <f t="shared" si="17"/>
        <v>2.9957322735539909</v>
      </c>
      <c r="J148" s="1">
        <f t="shared" si="18"/>
        <v>5.9471609781013939</v>
      </c>
      <c r="K148" s="9">
        <f t="shared" si="19"/>
        <v>6</v>
      </c>
    </row>
    <row r="149" spans="1:11" x14ac:dyDescent="0.3">
      <c r="A149" s="8">
        <v>3</v>
      </c>
      <c r="B149" s="1">
        <v>125</v>
      </c>
      <c r="C149" s="1">
        <v>10</v>
      </c>
      <c r="D149" s="8">
        <v>483.63569999999999</v>
      </c>
      <c r="E149" s="1">
        <v>6.85</v>
      </c>
      <c r="G149" s="1">
        <f t="shared" si="15"/>
        <v>1.0986156219958876</v>
      </c>
      <c r="H149" s="1">
        <f t="shared" si="16"/>
        <v>4.8283137373023015</v>
      </c>
      <c r="I149" s="1">
        <f t="shared" si="17"/>
        <v>2.3025850929940459</v>
      </c>
      <c r="J149" s="1">
        <f t="shared" si="18"/>
        <v>6.1813319373559272</v>
      </c>
      <c r="K149" s="9">
        <f t="shared" si="19"/>
        <v>6.85</v>
      </c>
    </row>
    <row r="150" spans="1:11" x14ac:dyDescent="0.3">
      <c r="A150" s="8">
        <v>3</v>
      </c>
      <c r="B150" s="1">
        <v>175</v>
      </c>
      <c r="C150" s="1">
        <v>25</v>
      </c>
      <c r="D150" s="8">
        <v>253.1063</v>
      </c>
      <c r="E150" s="1">
        <v>5.4215909089999998</v>
      </c>
      <c r="G150" s="1">
        <f t="shared" si="15"/>
        <v>1.0986156219958876</v>
      </c>
      <c r="H150" s="1">
        <f t="shared" si="16"/>
        <v>5.1647859739235145</v>
      </c>
      <c r="I150" s="1">
        <f t="shared" si="17"/>
        <v>3.2188758248682006</v>
      </c>
      <c r="J150" s="1">
        <f t="shared" si="18"/>
        <v>5.5338095585885876</v>
      </c>
      <c r="K150" s="9">
        <f t="shared" si="19"/>
        <v>5.4215909089999998</v>
      </c>
    </row>
    <row r="151" spans="1:11" x14ac:dyDescent="0.3">
      <c r="A151" s="8">
        <v>0</v>
      </c>
      <c r="B151" s="1">
        <v>175</v>
      </c>
      <c r="C151" s="1">
        <v>25</v>
      </c>
      <c r="D151" s="8">
        <v>243.5736</v>
      </c>
      <c r="E151" s="1">
        <v>18.350000000000001</v>
      </c>
      <c r="G151" s="1">
        <f t="shared" si="15"/>
        <v>-11.512925464970229</v>
      </c>
      <c r="H151" s="1">
        <f t="shared" si="16"/>
        <v>5.1647859739235145</v>
      </c>
      <c r="I151" s="1">
        <f t="shared" si="17"/>
        <v>3.2188758248682006</v>
      </c>
      <c r="J151" s="1">
        <f t="shared" si="18"/>
        <v>5.4954191555785776</v>
      </c>
      <c r="K151" s="9">
        <f t="shared" si="19"/>
        <v>18.350000000000001</v>
      </c>
    </row>
    <row r="152" spans="1:11" x14ac:dyDescent="0.3">
      <c r="A152" s="8">
        <v>3</v>
      </c>
      <c r="B152" s="1">
        <v>175</v>
      </c>
      <c r="C152" s="1">
        <v>20</v>
      </c>
      <c r="D152" s="8">
        <v>502.24990000000003</v>
      </c>
      <c r="E152" s="1">
        <v>6.75</v>
      </c>
      <c r="G152" s="1">
        <f t="shared" si="15"/>
        <v>1.0986156219958876</v>
      </c>
      <c r="H152" s="1">
        <f t="shared" si="16"/>
        <v>5.1647859739235145</v>
      </c>
      <c r="I152" s="1">
        <f t="shared" si="17"/>
        <v>2.9957322735539909</v>
      </c>
      <c r="J152" s="1">
        <f t="shared" si="18"/>
        <v>6.2190978045909926</v>
      </c>
      <c r="K152" s="9">
        <f t="shared" si="19"/>
        <v>6.75</v>
      </c>
    </row>
    <row r="153" spans="1:11" x14ac:dyDescent="0.3">
      <c r="A153" s="8">
        <v>6</v>
      </c>
      <c r="B153" s="1">
        <v>200</v>
      </c>
      <c r="C153" s="1">
        <v>15</v>
      </c>
      <c r="D153" s="8">
        <v>255.94069999999999</v>
      </c>
      <c r="E153" s="1">
        <v>2.5</v>
      </c>
      <c r="G153" s="1">
        <f t="shared" si="15"/>
        <v>1.7917611358933327</v>
      </c>
      <c r="H153" s="1">
        <f t="shared" si="16"/>
        <v>5.2983173665480363</v>
      </c>
      <c r="I153" s="1">
        <f t="shared" si="17"/>
        <v>2.7080502011022101</v>
      </c>
      <c r="J153" s="1">
        <f t="shared" si="18"/>
        <v>5.544945777021729</v>
      </c>
      <c r="K153" s="9">
        <f t="shared" si="19"/>
        <v>2.5</v>
      </c>
    </row>
    <row r="154" spans="1:11" x14ac:dyDescent="0.3">
      <c r="A154" s="8">
        <v>6</v>
      </c>
      <c r="B154" s="1">
        <v>100</v>
      </c>
      <c r="C154" s="1">
        <v>5</v>
      </c>
      <c r="D154" s="8">
        <v>251.56200000000001</v>
      </c>
      <c r="E154" s="1">
        <v>2.5</v>
      </c>
      <c r="G154" s="1">
        <f t="shared" si="15"/>
        <v>1.7917611358933327</v>
      </c>
      <c r="H154" s="1">
        <f t="shared" si="16"/>
        <v>4.6051701859880918</v>
      </c>
      <c r="I154" s="1">
        <f t="shared" si="17"/>
        <v>1.6094379124341003</v>
      </c>
      <c r="J154" s="1">
        <f t="shared" si="18"/>
        <v>5.5276894800332679</v>
      </c>
      <c r="K154" s="9">
        <f t="shared" si="19"/>
        <v>2.5</v>
      </c>
    </row>
    <row r="155" spans="1:11" x14ac:dyDescent="0.3">
      <c r="A155" s="8">
        <v>3</v>
      </c>
      <c r="B155" s="1">
        <v>200</v>
      </c>
      <c r="C155" s="1">
        <v>25</v>
      </c>
      <c r="D155" s="8">
        <v>490.28199999999998</v>
      </c>
      <c r="E155" s="1">
        <v>6.8</v>
      </c>
      <c r="G155" s="1">
        <f t="shared" si="15"/>
        <v>1.0986156219958876</v>
      </c>
      <c r="H155" s="1">
        <f t="shared" si="16"/>
        <v>5.2983173665480363</v>
      </c>
      <c r="I155" s="1">
        <f t="shared" si="17"/>
        <v>3.2188758248682006</v>
      </c>
      <c r="J155" s="1">
        <f t="shared" si="18"/>
        <v>6.1949807357662676</v>
      </c>
      <c r="K155" s="9">
        <f t="shared" si="19"/>
        <v>6.8</v>
      </c>
    </row>
    <row r="156" spans="1:11" x14ac:dyDescent="0.3">
      <c r="A156" s="8">
        <v>0</v>
      </c>
      <c r="B156" s="1">
        <v>200</v>
      </c>
      <c r="C156" s="1">
        <v>20</v>
      </c>
      <c r="D156" s="8">
        <v>366.27710000000002</v>
      </c>
      <c r="E156" s="1">
        <v>23.3</v>
      </c>
      <c r="G156" s="1">
        <f t="shared" si="15"/>
        <v>-11.512925464970229</v>
      </c>
      <c r="H156" s="1">
        <f t="shared" si="16"/>
        <v>5.2983173665480363</v>
      </c>
      <c r="I156" s="1">
        <f t="shared" si="17"/>
        <v>2.9957322735539909</v>
      </c>
      <c r="J156" s="1">
        <f t="shared" si="18"/>
        <v>5.9033901507679785</v>
      </c>
      <c r="K156" s="9">
        <f t="shared" si="19"/>
        <v>23.3</v>
      </c>
    </row>
    <row r="157" spans="1:11" x14ac:dyDescent="0.3">
      <c r="A157" s="8">
        <v>3</v>
      </c>
      <c r="B157" s="1">
        <v>125</v>
      </c>
      <c r="C157" s="1">
        <v>15</v>
      </c>
      <c r="D157" s="8">
        <v>504.45949999999999</v>
      </c>
      <c r="E157" s="1">
        <v>6.55</v>
      </c>
      <c r="G157" s="1">
        <f t="shared" si="15"/>
        <v>1.0986156219958876</v>
      </c>
      <c r="H157" s="1">
        <f t="shared" si="16"/>
        <v>4.8283137373023015</v>
      </c>
      <c r="I157" s="1">
        <f t="shared" si="17"/>
        <v>2.7080502011022101</v>
      </c>
      <c r="J157" s="1">
        <f t="shared" si="18"/>
        <v>6.2234875590687748</v>
      </c>
      <c r="K157" s="9">
        <f t="shared" si="19"/>
        <v>6.55</v>
      </c>
    </row>
    <row r="158" spans="1:11" x14ac:dyDescent="0.3">
      <c r="A158" s="8">
        <v>0</v>
      </c>
      <c r="B158" s="1">
        <v>125</v>
      </c>
      <c r="C158" s="1">
        <v>20</v>
      </c>
      <c r="D158" s="8">
        <v>499.75880000000001</v>
      </c>
      <c r="E158" s="1">
        <v>21.7</v>
      </c>
      <c r="G158" s="1">
        <f t="shared" si="15"/>
        <v>-11.512925464970229</v>
      </c>
      <c r="H158" s="1">
        <f t="shared" si="16"/>
        <v>4.8283137373023015</v>
      </c>
      <c r="I158" s="1">
        <f t="shared" si="17"/>
        <v>2.9957322735539909</v>
      </c>
      <c r="J158" s="1">
        <f t="shared" si="18"/>
        <v>6.2141255820298786</v>
      </c>
      <c r="K158" s="9">
        <f t="shared" si="19"/>
        <v>21.7</v>
      </c>
    </row>
    <row r="159" spans="1:11" x14ac:dyDescent="0.3">
      <c r="A159" s="8">
        <v>0</v>
      </c>
      <c r="B159" s="1">
        <v>150</v>
      </c>
      <c r="C159" s="1">
        <v>5</v>
      </c>
      <c r="D159" s="8">
        <v>258.95060000000001</v>
      </c>
      <c r="E159" s="1">
        <v>21.4</v>
      </c>
      <c r="G159" s="1">
        <f t="shared" si="15"/>
        <v>-11.512925464970229</v>
      </c>
      <c r="H159" s="1">
        <f t="shared" si="16"/>
        <v>5.0106352940962555</v>
      </c>
      <c r="I159" s="1">
        <f t="shared" si="17"/>
        <v>1.6094379124341003</v>
      </c>
      <c r="J159" s="1">
        <f t="shared" si="18"/>
        <v>5.55663730991684</v>
      </c>
      <c r="K159" s="9">
        <f t="shared" si="19"/>
        <v>21.4</v>
      </c>
    </row>
    <row r="160" spans="1:11" x14ac:dyDescent="0.3">
      <c r="A160" s="8">
        <v>6</v>
      </c>
      <c r="B160" s="1">
        <v>125</v>
      </c>
      <c r="C160" s="1">
        <v>5</v>
      </c>
      <c r="D160" s="8">
        <v>505.1499</v>
      </c>
      <c r="E160" s="1">
        <v>4.1500000000000004</v>
      </c>
      <c r="G160" s="1">
        <f t="shared" si="15"/>
        <v>1.7917611358933327</v>
      </c>
      <c r="H160" s="1">
        <f t="shared" si="16"/>
        <v>4.8283137373023015</v>
      </c>
      <c r="I160" s="1">
        <f t="shared" si="17"/>
        <v>1.6094379124341003</v>
      </c>
      <c r="J160" s="1">
        <f t="shared" si="18"/>
        <v>6.2248552169127196</v>
      </c>
      <c r="K160" s="9">
        <f t="shared" si="19"/>
        <v>4.1500000000000004</v>
      </c>
    </row>
    <row r="161" spans="1:11" x14ac:dyDescent="0.3">
      <c r="A161" s="8">
        <v>0</v>
      </c>
      <c r="B161" s="1">
        <v>125</v>
      </c>
      <c r="C161" s="1">
        <v>15</v>
      </c>
      <c r="D161" s="8">
        <v>240.81379999999999</v>
      </c>
      <c r="E161" s="1">
        <v>18.25</v>
      </c>
      <c r="G161" s="1">
        <f t="shared" si="15"/>
        <v>-11.512925464970229</v>
      </c>
      <c r="H161" s="1">
        <f t="shared" si="16"/>
        <v>4.8283137373023015</v>
      </c>
      <c r="I161" s="1">
        <f t="shared" si="17"/>
        <v>2.7080502011022101</v>
      </c>
      <c r="J161" s="1">
        <f t="shared" si="18"/>
        <v>5.4840240207626696</v>
      </c>
      <c r="K161" s="9">
        <f t="shared" si="19"/>
        <v>18.25</v>
      </c>
    </row>
    <row r="162" spans="1:11" x14ac:dyDescent="0.3">
      <c r="A162" s="8">
        <v>3</v>
      </c>
      <c r="B162" s="1">
        <v>100</v>
      </c>
      <c r="C162" s="1">
        <v>25</v>
      </c>
      <c r="D162" s="8">
        <v>502.92169999999999</v>
      </c>
      <c r="E162" s="1">
        <v>5.85</v>
      </c>
      <c r="G162" s="1">
        <f t="shared" si="15"/>
        <v>1.0986156219958876</v>
      </c>
      <c r="H162" s="1">
        <f t="shared" si="16"/>
        <v>4.6051701859880918</v>
      </c>
      <c r="I162" s="1">
        <f t="shared" si="17"/>
        <v>3.2188758248682006</v>
      </c>
      <c r="J162" s="1">
        <f t="shared" si="18"/>
        <v>6.220434491978553</v>
      </c>
      <c r="K162" s="9">
        <f t="shared" si="19"/>
        <v>5.85</v>
      </c>
    </row>
    <row r="163" spans="1:11" x14ac:dyDescent="0.3">
      <c r="A163" s="8">
        <v>3</v>
      </c>
      <c r="B163" s="1">
        <v>200</v>
      </c>
      <c r="C163" s="1">
        <v>25</v>
      </c>
      <c r="D163" s="8">
        <v>258.56920000000002</v>
      </c>
      <c r="E163" s="1">
        <v>5.55</v>
      </c>
      <c r="G163" s="1">
        <f t="shared" si="15"/>
        <v>1.0986156219958876</v>
      </c>
      <c r="H163" s="1">
        <f t="shared" si="16"/>
        <v>5.2983173665480363</v>
      </c>
      <c r="I163" s="1">
        <f t="shared" si="17"/>
        <v>3.2188758248682006</v>
      </c>
      <c r="J163" s="1">
        <f t="shared" si="18"/>
        <v>5.5551633563828862</v>
      </c>
      <c r="K163" s="9">
        <f t="shared" si="19"/>
        <v>5.55</v>
      </c>
    </row>
    <row r="164" spans="1:11" x14ac:dyDescent="0.3">
      <c r="A164" s="8">
        <v>0</v>
      </c>
      <c r="B164" s="1">
        <v>175</v>
      </c>
      <c r="C164" s="1">
        <v>25</v>
      </c>
      <c r="D164" s="8">
        <v>376.62740000000002</v>
      </c>
      <c r="E164" s="1">
        <v>21.45</v>
      </c>
      <c r="G164" s="1">
        <f t="shared" si="15"/>
        <v>-11.512925464970229</v>
      </c>
      <c r="H164" s="1">
        <f t="shared" si="16"/>
        <v>5.1647859739235145</v>
      </c>
      <c r="I164" s="1">
        <f t="shared" si="17"/>
        <v>3.2188758248682006</v>
      </c>
      <c r="J164" s="1">
        <f t="shared" si="18"/>
        <v>5.931256369816488</v>
      </c>
      <c r="K164" s="9">
        <f t="shared" si="19"/>
        <v>21.45</v>
      </c>
    </row>
    <row r="165" spans="1:11" x14ac:dyDescent="0.3">
      <c r="A165" s="8">
        <v>0</v>
      </c>
      <c r="B165" s="1">
        <v>100</v>
      </c>
      <c r="C165" s="1">
        <v>10</v>
      </c>
      <c r="D165" s="8">
        <v>250.26910000000001</v>
      </c>
      <c r="E165" s="1">
        <v>18.25</v>
      </c>
      <c r="G165" s="1">
        <f t="shared" si="15"/>
        <v>-11.512925464970229</v>
      </c>
      <c r="H165" s="1">
        <f t="shared" si="16"/>
        <v>4.6051701859880918</v>
      </c>
      <c r="I165" s="1">
        <f t="shared" si="17"/>
        <v>2.3025850929940459</v>
      </c>
      <c r="J165" s="1">
        <f t="shared" si="18"/>
        <v>5.5225367389591504</v>
      </c>
      <c r="K165" s="9">
        <f t="shared" si="19"/>
        <v>18.25</v>
      </c>
    </row>
    <row r="166" spans="1:11" x14ac:dyDescent="0.3">
      <c r="A166" s="8">
        <v>6</v>
      </c>
      <c r="B166" s="1">
        <v>150</v>
      </c>
      <c r="C166" s="1">
        <v>5</v>
      </c>
      <c r="D166" s="8">
        <v>499.51479999999998</v>
      </c>
      <c r="E166" s="1">
        <v>4.4000000000000004</v>
      </c>
      <c r="G166" s="1">
        <f t="shared" si="15"/>
        <v>1.7917611358933327</v>
      </c>
      <c r="H166" s="1">
        <f t="shared" si="16"/>
        <v>5.0106352940962555</v>
      </c>
      <c r="I166" s="1">
        <f t="shared" si="17"/>
        <v>1.6094379124341003</v>
      </c>
      <c r="J166" s="1">
        <f t="shared" si="18"/>
        <v>6.213637227279289</v>
      </c>
      <c r="K166" s="9">
        <f t="shared" si="19"/>
        <v>4.4000000000000004</v>
      </c>
    </row>
    <row r="167" spans="1:11" x14ac:dyDescent="0.3">
      <c r="A167" s="8">
        <v>6</v>
      </c>
      <c r="B167" s="1">
        <v>100</v>
      </c>
      <c r="C167" s="1">
        <v>20</v>
      </c>
      <c r="D167" s="8">
        <v>263.5043</v>
      </c>
      <c r="E167" s="1">
        <v>1.7</v>
      </c>
      <c r="G167" s="1">
        <f t="shared" si="15"/>
        <v>1.7917611358933327</v>
      </c>
      <c r="H167" s="1">
        <f t="shared" si="16"/>
        <v>4.6051701859880918</v>
      </c>
      <c r="I167" s="1">
        <f t="shared" si="17"/>
        <v>2.9957322735539909</v>
      </c>
      <c r="J167" s="1">
        <f t="shared" si="18"/>
        <v>5.5740696866338455</v>
      </c>
      <c r="K167" s="9">
        <f t="shared" si="19"/>
        <v>1.7</v>
      </c>
    </row>
    <row r="168" spans="1:11" x14ac:dyDescent="0.3">
      <c r="A168" s="8">
        <v>0</v>
      </c>
      <c r="B168" s="1">
        <v>150</v>
      </c>
      <c r="C168" s="1">
        <v>25</v>
      </c>
      <c r="D168" s="8">
        <v>490.98450000000003</v>
      </c>
      <c r="E168" s="1">
        <v>21.95</v>
      </c>
      <c r="G168" s="1">
        <f t="shared" si="15"/>
        <v>-11.512925464970229</v>
      </c>
      <c r="H168" s="1">
        <f t="shared" si="16"/>
        <v>5.0106352940962555</v>
      </c>
      <c r="I168" s="1">
        <f t="shared" si="17"/>
        <v>3.2188758248682006</v>
      </c>
      <c r="J168" s="1">
        <f t="shared" si="18"/>
        <v>6.1964125590681274</v>
      </c>
      <c r="K168" s="9">
        <f t="shared" si="19"/>
        <v>21.95</v>
      </c>
    </row>
    <row r="169" spans="1:11" x14ac:dyDescent="0.3">
      <c r="A169" s="8">
        <v>6</v>
      </c>
      <c r="B169" s="1">
        <v>150</v>
      </c>
      <c r="C169" s="1">
        <v>10</v>
      </c>
      <c r="D169" s="8">
        <v>262.39609999999999</v>
      </c>
      <c r="E169" s="1">
        <v>2.5</v>
      </c>
      <c r="G169" s="1">
        <f t="shared" si="15"/>
        <v>1.7917611358933327</v>
      </c>
      <c r="H169" s="1">
        <f t="shared" si="16"/>
        <v>5.0106352940962555</v>
      </c>
      <c r="I169" s="1">
        <f t="shared" si="17"/>
        <v>2.3025850929940459</v>
      </c>
      <c r="J169" s="1">
        <f t="shared" si="18"/>
        <v>5.5698551941546031</v>
      </c>
      <c r="K169" s="9">
        <f t="shared" si="19"/>
        <v>2.5</v>
      </c>
    </row>
    <row r="170" spans="1:11" x14ac:dyDescent="0.3">
      <c r="A170" s="8">
        <v>0</v>
      </c>
      <c r="B170" s="1">
        <v>125</v>
      </c>
      <c r="C170" s="1">
        <v>10</v>
      </c>
      <c r="D170" s="8">
        <v>495.36689999999999</v>
      </c>
      <c r="E170" s="1">
        <v>25.15</v>
      </c>
      <c r="G170" s="1">
        <f t="shared" si="15"/>
        <v>-11.512925464970229</v>
      </c>
      <c r="H170" s="1">
        <f t="shared" si="16"/>
        <v>4.8283137373023015</v>
      </c>
      <c r="I170" s="1">
        <f t="shared" si="17"/>
        <v>2.3025850929940459</v>
      </c>
      <c r="J170" s="1">
        <f t="shared" si="18"/>
        <v>6.2052987001278623</v>
      </c>
      <c r="K170" s="9">
        <f t="shared" si="19"/>
        <v>25.15</v>
      </c>
    </row>
    <row r="171" spans="1:11" x14ac:dyDescent="0.3">
      <c r="A171" s="8">
        <v>0</v>
      </c>
      <c r="B171" s="1">
        <v>175</v>
      </c>
      <c r="C171" s="1">
        <v>5</v>
      </c>
      <c r="D171" s="8">
        <v>507.6782</v>
      </c>
      <c r="E171" s="1">
        <v>28.9</v>
      </c>
      <c r="G171" s="1">
        <f t="shared" si="15"/>
        <v>-11.512925464970229</v>
      </c>
      <c r="H171" s="1">
        <f t="shared" si="16"/>
        <v>5.1647859739235145</v>
      </c>
      <c r="I171" s="1">
        <f t="shared" si="17"/>
        <v>1.6094379124341003</v>
      </c>
      <c r="J171" s="1">
        <f t="shared" si="18"/>
        <v>6.2298477822881022</v>
      </c>
      <c r="K171" s="9">
        <f t="shared" si="19"/>
        <v>28.9</v>
      </c>
    </row>
    <row r="172" spans="1:11" x14ac:dyDescent="0.3">
      <c r="A172" s="8">
        <v>0</v>
      </c>
      <c r="B172" s="1">
        <v>175</v>
      </c>
      <c r="C172" s="1">
        <v>20</v>
      </c>
      <c r="D172" s="8">
        <v>363.61759999999998</v>
      </c>
      <c r="E172" s="1">
        <v>22.5</v>
      </c>
      <c r="G172" s="1">
        <f t="shared" si="15"/>
        <v>-11.512925464970229</v>
      </c>
      <c r="H172" s="1">
        <f t="shared" si="16"/>
        <v>5.1647859739235145</v>
      </c>
      <c r="I172" s="1">
        <f t="shared" si="17"/>
        <v>2.9957322735539909</v>
      </c>
      <c r="J172" s="1">
        <f t="shared" si="18"/>
        <v>5.8961027659723309</v>
      </c>
      <c r="K172" s="9">
        <f t="shared" si="19"/>
        <v>22.5</v>
      </c>
    </row>
    <row r="173" spans="1:11" x14ac:dyDescent="0.3">
      <c r="A173" s="8">
        <v>3</v>
      </c>
      <c r="B173" s="1">
        <v>100</v>
      </c>
      <c r="C173" s="1">
        <v>5</v>
      </c>
      <c r="D173" s="8">
        <v>374.69760000000002</v>
      </c>
      <c r="E173" s="1">
        <v>6.55</v>
      </c>
      <c r="G173" s="1">
        <f t="shared" si="15"/>
        <v>1.0986156219958876</v>
      </c>
      <c r="H173" s="1">
        <f t="shared" si="16"/>
        <v>4.6051701859880918</v>
      </c>
      <c r="I173" s="1">
        <f t="shared" si="17"/>
        <v>1.6094379124341003</v>
      </c>
      <c r="J173" s="1">
        <f t="shared" si="18"/>
        <v>5.9261193006550297</v>
      </c>
      <c r="K173" s="9">
        <f t="shared" si="19"/>
        <v>6.55</v>
      </c>
    </row>
    <row r="174" spans="1:11" x14ac:dyDescent="0.3">
      <c r="A174" s="8">
        <v>3</v>
      </c>
      <c r="B174" s="1">
        <v>125</v>
      </c>
      <c r="C174" s="1">
        <v>5</v>
      </c>
      <c r="D174" s="8">
        <v>490.86180000000002</v>
      </c>
      <c r="E174" s="1">
        <v>7.5</v>
      </c>
      <c r="G174" s="1">
        <f t="shared" si="15"/>
        <v>1.0986156219958876</v>
      </c>
      <c r="H174" s="1">
        <f t="shared" si="16"/>
        <v>4.8283137373023015</v>
      </c>
      <c r="I174" s="1">
        <f t="shared" si="17"/>
        <v>1.6094379124341003</v>
      </c>
      <c r="J174" s="1">
        <f t="shared" si="18"/>
        <v>6.1961626217803083</v>
      </c>
      <c r="K174" s="9">
        <f t="shared" si="19"/>
        <v>7.5</v>
      </c>
    </row>
    <row r="175" spans="1:11" x14ac:dyDescent="0.3">
      <c r="A175" s="8">
        <v>6</v>
      </c>
      <c r="B175" s="1">
        <v>200</v>
      </c>
      <c r="C175" s="1">
        <v>25</v>
      </c>
      <c r="D175" s="8">
        <v>257.85169999999999</v>
      </c>
      <c r="E175" s="1">
        <v>2.2999999999999998</v>
      </c>
      <c r="G175" s="1">
        <f t="shared" si="15"/>
        <v>1.7917611358933327</v>
      </c>
      <c r="H175" s="1">
        <f t="shared" si="16"/>
        <v>5.2983173665480363</v>
      </c>
      <c r="I175" s="1">
        <f t="shared" si="17"/>
        <v>3.2188758248682006</v>
      </c>
      <c r="J175" s="1">
        <f t="shared" si="18"/>
        <v>5.5523846134556489</v>
      </c>
      <c r="K175" s="9">
        <f t="shared" si="19"/>
        <v>2.2999999999999998</v>
      </c>
    </row>
    <row r="176" spans="1:11" x14ac:dyDescent="0.3">
      <c r="A176" s="8">
        <v>6</v>
      </c>
      <c r="B176" s="1">
        <v>175</v>
      </c>
      <c r="C176" s="1">
        <v>5</v>
      </c>
      <c r="D176" s="8">
        <v>492.00099999999998</v>
      </c>
      <c r="E176" s="1">
        <v>4.5999999999999996</v>
      </c>
      <c r="G176" s="1">
        <f t="shared" si="15"/>
        <v>1.7917611358933327</v>
      </c>
      <c r="H176" s="1">
        <f t="shared" si="16"/>
        <v>5.1647859739235145</v>
      </c>
      <c r="I176" s="1">
        <f t="shared" si="17"/>
        <v>1.6094379124341003</v>
      </c>
      <c r="J176" s="1">
        <f t="shared" si="18"/>
        <v>6.1984807490105673</v>
      </c>
      <c r="K176" s="9">
        <f t="shared" si="19"/>
        <v>4.5999999999999996</v>
      </c>
    </row>
    <row r="177" spans="1:11" x14ac:dyDescent="0.3">
      <c r="A177" s="8">
        <v>3</v>
      </c>
      <c r="B177" s="1">
        <v>100</v>
      </c>
      <c r="C177" s="1">
        <v>25</v>
      </c>
      <c r="D177" s="8">
        <v>254.7302</v>
      </c>
      <c r="E177" s="1">
        <v>4.7</v>
      </c>
      <c r="G177" s="1">
        <f t="shared" si="15"/>
        <v>1.0986156219958876</v>
      </c>
      <c r="H177" s="1">
        <f t="shared" si="16"/>
        <v>4.6051701859880918</v>
      </c>
      <c r="I177" s="1">
        <f t="shared" si="17"/>
        <v>3.2188758248682006</v>
      </c>
      <c r="J177" s="1">
        <f t="shared" si="18"/>
        <v>5.5402049458241294</v>
      </c>
      <c r="K177" s="9">
        <f t="shared" si="19"/>
        <v>4.7</v>
      </c>
    </row>
    <row r="178" spans="1:11" x14ac:dyDescent="0.3">
      <c r="A178" s="8">
        <v>3</v>
      </c>
      <c r="B178" s="1">
        <v>200</v>
      </c>
      <c r="C178" s="1">
        <v>5</v>
      </c>
      <c r="D178" s="8">
        <v>502.24299999999999</v>
      </c>
      <c r="E178" s="1">
        <v>8.1</v>
      </c>
      <c r="G178" s="1">
        <f t="shared" si="15"/>
        <v>1.0986156219958876</v>
      </c>
      <c r="H178" s="1">
        <f t="shared" si="16"/>
        <v>5.2983173665480363</v>
      </c>
      <c r="I178" s="1">
        <f t="shared" si="17"/>
        <v>1.6094379124341003</v>
      </c>
      <c r="J178" s="1">
        <f t="shared" si="18"/>
        <v>6.2190840663156894</v>
      </c>
      <c r="K178" s="9">
        <f t="shared" si="19"/>
        <v>8.1</v>
      </c>
    </row>
    <row r="179" spans="1:11" x14ac:dyDescent="0.3">
      <c r="A179" s="8">
        <v>0</v>
      </c>
      <c r="B179" s="1">
        <v>125</v>
      </c>
      <c r="C179" s="1">
        <v>15</v>
      </c>
      <c r="D179" s="8">
        <v>374.74630000000002</v>
      </c>
      <c r="E179" s="1">
        <v>21.1</v>
      </c>
      <c r="G179" s="1">
        <f t="shared" si="15"/>
        <v>-11.512925464970229</v>
      </c>
      <c r="H179" s="1">
        <f t="shared" si="16"/>
        <v>4.8283137373023015</v>
      </c>
      <c r="I179" s="1">
        <f t="shared" si="17"/>
        <v>2.7080502011022101</v>
      </c>
      <c r="J179" s="1">
        <f t="shared" si="18"/>
        <v>5.9262492636851336</v>
      </c>
      <c r="K179" s="9">
        <f t="shared" si="19"/>
        <v>21.1</v>
      </c>
    </row>
    <row r="180" spans="1:11" x14ac:dyDescent="0.3">
      <c r="A180" s="8">
        <v>3</v>
      </c>
      <c r="B180" s="1">
        <v>125</v>
      </c>
      <c r="C180" s="1">
        <v>10</v>
      </c>
      <c r="D180" s="8">
        <v>257.59449999999998</v>
      </c>
      <c r="E180" s="1">
        <v>5.5758904109999996</v>
      </c>
      <c r="G180" s="1">
        <f t="shared" si="15"/>
        <v>1.0986156219958876</v>
      </c>
      <c r="H180" s="1">
        <f t="shared" si="16"/>
        <v>4.8283137373023015</v>
      </c>
      <c r="I180" s="1">
        <f t="shared" si="17"/>
        <v>2.3025850929940459</v>
      </c>
      <c r="J180" s="1">
        <f t="shared" si="18"/>
        <v>5.5513866430705869</v>
      </c>
      <c r="K180" s="9">
        <f t="shared" si="19"/>
        <v>5.5758904109999996</v>
      </c>
    </row>
    <row r="181" spans="1:11" x14ac:dyDescent="0.3">
      <c r="A181" s="8">
        <v>0</v>
      </c>
      <c r="B181" s="1">
        <v>200</v>
      </c>
      <c r="C181" s="1">
        <v>10</v>
      </c>
      <c r="D181" s="8">
        <v>374.01479999999998</v>
      </c>
      <c r="E181" s="1">
        <v>26.05</v>
      </c>
      <c r="G181" s="1">
        <f t="shared" si="15"/>
        <v>-11.512925464970229</v>
      </c>
      <c r="H181" s="1">
        <f t="shared" si="16"/>
        <v>5.2983173665480363</v>
      </c>
      <c r="I181" s="1">
        <f t="shared" si="17"/>
        <v>2.3025850929940459</v>
      </c>
      <c r="J181" s="1">
        <f t="shared" si="18"/>
        <v>5.9242953688240867</v>
      </c>
      <c r="K181" s="9">
        <f t="shared" si="19"/>
        <v>26.05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7D1C-3D1B-45FF-8339-084729FE2C1F}">
  <dimension ref="A1:E46"/>
  <sheetViews>
    <sheetView workbookViewId="0">
      <selection sqref="A1:E46"/>
    </sheetView>
  </sheetViews>
  <sheetFormatPr defaultRowHeight="14.4" x14ac:dyDescent="0.3"/>
  <sheetData>
    <row r="1" spans="1:5" x14ac:dyDescent="0.3">
      <c r="A1" t="s">
        <v>30</v>
      </c>
      <c r="B1" t="s">
        <v>0</v>
      </c>
      <c r="C1" t="s">
        <v>1</v>
      </c>
      <c r="D1" t="s">
        <v>31</v>
      </c>
      <c r="E1" t="s">
        <v>2</v>
      </c>
    </row>
    <row r="2" spans="1:5" x14ac:dyDescent="0.3">
      <c r="A2">
        <v>0</v>
      </c>
      <c r="B2">
        <v>100</v>
      </c>
      <c r="C2">
        <v>15</v>
      </c>
      <c r="D2">
        <v>255.4161</v>
      </c>
      <c r="E2">
        <v>17.05</v>
      </c>
    </row>
    <row r="3" spans="1:5" x14ac:dyDescent="0.3">
      <c r="A3">
        <v>0</v>
      </c>
      <c r="B3">
        <v>125</v>
      </c>
      <c r="C3">
        <v>25</v>
      </c>
      <c r="D3">
        <v>244.84139999999999</v>
      </c>
      <c r="E3">
        <v>16</v>
      </c>
    </row>
    <row r="4" spans="1:5" x14ac:dyDescent="0.3">
      <c r="A4">
        <v>0</v>
      </c>
      <c r="B4">
        <v>150</v>
      </c>
      <c r="C4">
        <v>10</v>
      </c>
      <c r="D4">
        <v>257.6053</v>
      </c>
      <c r="E4">
        <v>21</v>
      </c>
    </row>
    <row r="5" spans="1:5" x14ac:dyDescent="0.3">
      <c r="A5">
        <v>0</v>
      </c>
      <c r="B5">
        <v>150</v>
      </c>
      <c r="C5">
        <v>25</v>
      </c>
      <c r="D5">
        <v>252.79050000000001</v>
      </c>
      <c r="E5">
        <v>17.600000000000001</v>
      </c>
    </row>
    <row r="6" spans="1:5" x14ac:dyDescent="0.3">
      <c r="A6">
        <v>0</v>
      </c>
      <c r="B6">
        <v>175</v>
      </c>
      <c r="C6">
        <v>15</v>
      </c>
      <c r="D6">
        <v>249.5513</v>
      </c>
      <c r="E6">
        <v>20.75</v>
      </c>
    </row>
    <row r="7" spans="1:5" x14ac:dyDescent="0.3">
      <c r="A7">
        <v>0</v>
      </c>
      <c r="B7">
        <v>175</v>
      </c>
      <c r="C7">
        <v>20</v>
      </c>
      <c r="D7">
        <v>258.00970000000001</v>
      </c>
      <c r="E7">
        <v>19.75</v>
      </c>
    </row>
    <row r="8" spans="1:5" x14ac:dyDescent="0.3">
      <c r="A8">
        <v>0</v>
      </c>
      <c r="B8">
        <v>100</v>
      </c>
      <c r="C8">
        <v>15</v>
      </c>
      <c r="D8">
        <v>374.30119999999999</v>
      </c>
      <c r="E8">
        <v>19.2</v>
      </c>
    </row>
    <row r="9" spans="1:5" x14ac:dyDescent="0.3">
      <c r="A9">
        <v>0</v>
      </c>
      <c r="B9">
        <v>100</v>
      </c>
      <c r="C9">
        <v>20</v>
      </c>
      <c r="D9">
        <v>365.78660000000002</v>
      </c>
      <c r="E9">
        <v>17.600000000000001</v>
      </c>
    </row>
    <row r="10" spans="1:5" x14ac:dyDescent="0.3">
      <c r="A10">
        <v>0</v>
      </c>
      <c r="B10">
        <v>125</v>
      </c>
      <c r="C10">
        <v>5</v>
      </c>
      <c r="D10">
        <v>369.11099999999999</v>
      </c>
      <c r="E10">
        <v>23.35</v>
      </c>
    </row>
    <row r="11" spans="1:5" x14ac:dyDescent="0.3">
      <c r="A11">
        <v>0</v>
      </c>
      <c r="B11">
        <v>150</v>
      </c>
      <c r="C11">
        <v>10</v>
      </c>
      <c r="D11">
        <v>371.04</v>
      </c>
      <c r="E11">
        <v>24.05</v>
      </c>
    </row>
    <row r="12" spans="1:5" x14ac:dyDescent="0.3">
      <c r="A12">
        <v>0</v>
      </c>
      <c r="B12">
        <v>125</v>
      </c>
      <c r="C12">
        <v>15</v>
      </c>
      <c r="D12">
        <v>505.86290000000002</v>
      </c>
      <c r="E12">
        <v>23.5</v>
      </c>
    </row>
    <row r="13" spans="1:5" x14ac:dyDescent="0.3">
      <c r="A13">
        <v>0</v>
      </c>
      <c r="B13">
        <v>150</v>
      </c>
      <c r="C13">
        <v>5</v>
      </c>
      <c r="D13">
        <v>496.04020000000003</v>
      </c>
      <c r="E13">
        <v>27.55</v>
      </c>
    </row>
    <row r="14" spans="1:5" x14ac:dyDescent="0.3">
      <c r="A14">
        <v>0</v>
      </c>
      <c r="B14">
        <v>200</v>
      </c>
      <c r="C14">
        <v>15</v>
      </c>
      <c r="D14">
        <v>509.66410000000002</v>
      </c>
      <c r="E14">
        <v>28.2</v>
      </c>
    </row>
    <row r="15" spans="1:5" x14ac:dyDescent="0.3">
      <c r="A15">
        <v>3</v>
      </c>
      <c r="B15">
        <v>125</v>
      </c>
      <c r="C15">
        <v>20</v>
      </c>
      <c r="D15">
        <v>257.90320000000003</v>
      </c>
      <c r="E15">
        <v>5.19</v>
      </c>
    </row>
    <row r="16" spans="1:5" x14ac:dyDescent="0.3">
      <c r="A16">
        <v>3</v>
      </c>
      <c r="B16">
        <v>150</v>
      </c>
      <c r="C16">
        <v>15</v>
      </c>
      <c r="D16">
        <v>249.85329999999999</v>
      </c>
      <c r="E16">
        <v>5.45</v>
      </c>
    </row>
    <row r="17" spans="1:5" x14ac:dyDescent="0.3">
      <c r="A17">
        <v>3</v>
      </c>
      <c r="B17">
        <v>100</v>
      </c>
      <c r="C17">
        <v>25</v>
      </c>
      <c r="D17">
        <v>370.01369999999997</v>
      </c>
      <c r="E17">
        <v>5.3</v>
      </c>
    </row>
    <row r="18" spans="1:5" x14ac:dyDescent="0.3">
      <c r="A18">
        <v>3</v>
      </c>
      <c r="B18">
        <v>125</v>
      </c>
      <c r="C18">
        <v>15</v>
      </c>
      <c r="D18">
        <v>374.08359999999999</v>
      </c>
      <c r="E18">
        <v>6</v>
      </c>
    </row>
    <row r="19" spans="1:5" x14ac:dyDescent="0.3">
      <c r="A19">
        <v>3</v>
      </c>
      <c r="B19">
        <v>150</v>
      </c>
      <c r="C19">
        <v>5</v>
      </c>
      <c r="D19">
        <v>363.137</v>
      </c>
      <c r="E19">
        <v>7.05</v>
      </c>
    </row>
    <row r="20" spans="1:5" x14ac:dyDescent="0.3">
      <c r="A20">
        <v>3</v>
      </c>
      <c r="B20">
        <v>200</v>
      </c>
      <c r="C20">
        <v>15</v>
      </c>
      <c r="D20">
        <v>376.45819999999998</v>
      </c>
      <c r="E20">
        <v>6.6</v>
      </c>
    </row>
    <row r="21" spans="1:5" x14ac:dyDescent="0.3">
      <c r="A21">
        <v>3</v>
      </c>
      <c r="B21">
        <v>200</v>
      </c>
      <c r="C21">
        <v>20</v>
      </c>
      <c r="D21">
        <v>377.67329999999998</v>
      </c>
      <c r="E21">
        <v>6.4</v>
      </c>
    </row>
    <row r="22" spans="1:5" x14ac:dyDescent="0.3">
      <c r="A22">
        <v>3</v>
      </c>
      <c r="B22">
        <v>200</v>
      </c>
      <c r="C22">
        <v>25</v>
      </c>
      <c r="D22">
        <v>365.49470000000002</v>
      </c>
      <c r="E22">
        <v>6.25</v>
      </c>
    </row>
    <row r="23" spans="1:5" x14ac:dyDescent="0.3">
      <c r="A23">
        <v>3</v>
      </c>
      <c r="B23">
        <v>100</v>
      </c>
      <c r="C23">
        <v>15</v>
      </c>
      <c r="D23">
        <v>502.92169999999999</v>
      </c>
      <c r="E23">
        <v>6.25</v>
      </c>
    </row>
    <row r="24" spans="1:5" x14ac:dyDescent="0.3">
      <c r="A24">
        <v>3</v>
      </c>
      <c r="B24">
        <v>100</v>
      </c>
      <c r="C24">
        <v>20</v>
      </c>
      <c r="D24">
        <v>495.63959999999997</v>
      </c>
      <c r="E24">
        <v>6</v>
      </c>
    </row>
    <row r="25" spans="1:5" x14ac:dyDescent="0.3">
      <c r="A25">
        <v>3</v>
      </c>
      <c r="B25">
        <v>200</v>
      </c>
      <c r="C25">
        <v>15</v>
      </c>
      <c r="D25">
        <v>492.87540000000001</v>
      </c>
      <c r="E25">
        <v>7.2</v>
      </c>
    </row>
    <row r="26" spans="1:5" x14ac:dyDescent="0.3">
      <c r="A26">
        <v>6</v>
      </c>
      <c r="B26">
        <v>125</v>
      </c>
      <c r="C26">
        <v>5</v>
      </c>
      <c r="D26">
        <v>244.60079999999999</v>
      </c>
      <c r="E26">
        <v>2.65</v>
      </c>
    </row>
    <row r="27" spans="1:5" x14ac:dyDescent="0.3">
      <c r="A27">
        <v>6</v>
      </c>
      <c r="B27">
        <v>125</v>
      </c>
      <c r="C27">
        <v>10</v>
      </c>
      <c r="D27">
        <v>260.52199999999999</v>
      </c>
      <c r="E27">
        <v>2.2999999999999998</v>
      </c>
    </row>
    <row r="28" spans="1:5" x14ac:dyDescent="0.3">
      <c r="A28">
        <v>6</v>
      </c>
      <c r="B28">
        <v>125</v>
      </c>
      <c r="C28">
        <v>15</v>
      </c>
      <c r="D28">
        <v>260.56450000000001</v>
      </c>
      <c r="E28">
        <v>2.1</v>
      </c>
    </row>
    <row r="29" spans="1:5" x14ac:dyDescent="0.3">
      <c r="A29">
        <v>6</v>
      </c>
      <c r="B29">
        <v>125</v>
      </c>
      <c r="C29">
        <v>25</v>
      </c>
      <c r="D29">
        <v>255.16220000000001</v>
      </c>
      <c r="E29">
        <v>1.8</v>
      </c>
    </row>
    <row r="30" spans="1:5" x14ac:dyDescent="0.3">
      <c r="A30">
        <v>6</v>
      </c>
      <c r="B30">
        <v>175</v>
      </c>
      <c r="C30">
        <v>15</v>
      </c>
      <c r="D30">
        <v>259.26310000000001</v>
      </c>
      <c r="E30">
        <v>2.4</v>
      </c>
    </row>
    <row r="31" spans="1:5" x14ac:dyDescent="0.3">
      <c r="A31">
        <v>6</v>
      </c>
      <c r="B31">
        <v>200</v>
      </c>
      <c r="C31">
        <v>5</v>
      </c>
      <c r="D31">
        <v>254.43889999999999</v>
      </c>
      <c r="E31">
        <v>3.1</v>
      </c>
    </row>
    <row r="32" spans="1:5" x14ac:dyDescent="0.3">
      <c r="A32">
        <v>6</v>
      </c>
      <c r="B32">
        <v>200</v>
      </c>
      <c r="C32">
        <v>10</v>
      </c>
      <c r="D32">
        <v>251.9675</v>
      </c>
      <c r="E32">
        <v>2.65</v>
      </c>
    </row>
    <row r="33" spans="1:5" x14ac:dyDescent="0.3">
      <c r="A33">
        <v>6</v>
      </c>
      <c r="B33">
        <v>200</v>
      </c>
      <c r="C33">
        <v>20</v>
      </c>
      <c r="D33">
        <v>260.9991</v>
      </c>
      <c r="E33">
        <v>2.4</v>
      </c>
    </row>
    <row r="34" spans="1:5" x14ac:dyDescent="0.3">
      <c r="A34">
        <v>6</v>
      </c>
      <c r="B34">
        <v>100</v>
      </c>
      <c r="C34">
        <v>5</v>
      </c>
      <c r="D34">
        <v>365.23250000000002</v>
      </c>
      <c r="E34">
        <v>3.25</v>
      </c>
    </row>
    <row r="35" spans="1:5" x14ac:dyDescent="0.3">
      <c r="A35">
        <v>6</v>
      </c>
      <c r="B35">
        <v>100</v>
      </c>
      <c r="C35">
        <v>10</v>
      </c>
      <c r="D35">
        <v>387.44439999999997</v>
      </c>
      <c r="E35">
        <v>2.8</v>
      </c>
    </row>
    <row r="36" spans="1:5" x14ac:dyDescent="0.3">
      <c r="A36">
        <v>6</v>
      </c>
      <c r="B36">
        <v>100</v>
      </c>
      <c r="C36">
        <v>25</v>
      </c>
      <c r="D36">
        <v>374.5292</v>
      </c>
      <c r="E36">
        <v>2.1</v>
      </c>
    </row>
    <row r="37" spans="1:5" x14ac:dyDescent="0.3">
      <c r="A37">
        <v>6</v>
      </c>
      <c r="B37">
        <v>125</v>
      </c>
      <c r="C37">
        <v>5</v>
      </c>
      <c r="D37">
        <v>360.62049999999999</v>
      </c>
      <c r="E37">
        <v>3.5</v>
      </c>
    </row>
    <row r="38" spans="1:5" x14ac:dyDescent="0.3">
      <c r="A38">
        <v>6</v>
      </c>
      <c r="B38">
        <v>125</v>
      </c>
      <c r="C38">
        <v>10</v>
      </c>
      <c r="D38">
        <v>367.35079999999999</v>
      </c>
      <c r="E38">
        <v>3</v>
      </c>
    </row>
    <row r="39" spans="1:5" x14ac:dyDescent="0.3">
      <c r="A39">
        <v>6</v>
      </c>
      <c r="B39">
        <v>125</v>
      </c>
      <c r="C39">
        <v>15</v>
      </c>
      <c r="D39">
        <v>367.7645</v>
      </c>
      <c r="E39">
        <v>2.75</v>
      </c>
    </row>
    <row r="40" spans="1:5" x14ac:dyDescent="0.3">
      <c r="A40">
        <v>6</v>
      </c>
      <c r="B40">
        <v>150</v>
      </c>
      <c r="C40">
        <v>20</v>
      </c>
      <c r="D40">
        <v>367.99079999999998</v>
      </c>
      <c r="E40">
        <v>2.75</v>
      </c>
    </row>
    <row r="41" spans="1:5" x14ac:dyDescent="0.3">
      <c r="A41">
        <v>6</v>
      </c>
      <c r="B41">
        <v>200</v>
      </c>
      <c r="C41">
        <v>15</v>
      </c>
      <c r="D41">
        <v>371.43880000000001</v>
      </c>
      <c r="E41">
        <v>3.25</v>
      </c>
    </row>
    <row r="42" spans="1:5" x14ac:dyDescent="0.3">
      <c r="A42">
        <v>6</v>
      </c>
      <c r="B42">
        <v>200</v>
      </c>
      <c r="C42">
        <v>20</v>
      </c>
      <c r="D42">
        <v>372.47449999999998</v>
      </c>
      <c r="E42">
        <v>3.1</v>
      </c>
    </row>
    <row r="43" spans="1:5" x14ac:dyDescent="0.3">
      <c r="A43">
        <v>6</v>
      </c>
      <c r="B43">
        <v>200</v>
      </c>
      <c r="C43">
        <v>25</v>
      </c>
      <c r="D43">
        <v>372.16250000000002</v>
      </c>
      <c r="E43">
        <v>2.95</v>
      </c>
    </row>
    <row r="44" spans="1:5" x14ac:dyDescent="0.3">
      <c r="A44">
        <v>6</v>
      </c>
      <c r="B44">
        <v>100</v>
      </c>
      <c r="C44">
        <v>10</v>
      </c>
      <c r="D44">
        <v>504.5521</v>
      </c>
      <c r="E44">
        <v>3.35</v>
      </c>
    </row>
    <row r="45" spans="1:5" x14ac:dyDescent="0.3">
      <c r="A45">
        <v>6</v>
      </c>
      <c r="B45">
        <v>125</v>
      </c>
      <c r="C45">
        <v>15</v>
      </c>
      <c r="D45">
        <v>513.15689999999995</v>
      </c>
      <c r="E45">
        <v>3.35</v>
      </c>
    </row>
    <row r="46" spans="1:5" x14ac:dyDescent="0.3">
      <c r="A46">
        <v>6</v>
      </c>
      <c r="B46">
        <v>200</v>
      </c>
      <c r="C46">
        <v>5</v>
      </c>
      <c r="D46">
        <v>497.06200000000001</v>
      </c>
      <c r="E46">
        <v>4.75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93B9-B304-4FF7-964C-A7249E27A5C0}">
  <dimension ref="A1:U181"/>
  <sheetViews>
    <sheetView topLeftCell="K12" workbookViewId="0">
      <selection activeCell="P29" sqref="P29"/>
    </sheetView>
  </sheetViews>
  <sheetFormatPr defaultRowHeight="14.4" x14ac:dyDescent="0.3"/>
  <cols>
    <col min="2" max="3" width="8.88671875" style="2"/>
    <col min="5" max="9" width="8.88671875" style="2"/>
    <col min="10" max="10" width="10.44140625" style="2" bestFit="1" customWidth="1"/>
    <col min="13" max="13" width="31.77734375" style="2" bestFit="1" customWidth="1"/>
    <col min="14" max="14" width="21.44140625" style="2" bestFit="1" customWidth="1"/>
    <col min="15" max="15" width="17.77734375" style="2" customWidth="1"/>
    <col min="16" max="16" width="15.109375" style="2" customWidth="1"/>
    <col min="17" max="17" width="12" style="2" bestFit="1" customWidth="1"/>
    <col min="18" max="18" width="13.44140625" style="2" bestFit="1" customWidth="1"/>
    <col min="19" max="19" width="11.5546875" style="2" bestFit="1" customWidth="1"/>
    <col min="20" max="21" width="12.44140625" style="2" bestFit="1" customWidth="1"/>
  </cols>
  <sheetData>
    <row r="1" spans="1:21" x14ac:dyDescent="0.3">
      <c r="A1" s="11" t="s">
        <v>30</v>
      </c>
      <c r="B1" s="3" t="s">
        <v>0</v>
      </c>
      <c r="C1" s="3" t="s">
        <v>1</v>
      </c>
      <c r="D1" s="3" t="s">
        <v>31</v>
      </c>
      <c r="E1" s="3" t="s">
        <v>2</v>
      </c>
      <c r="G1" s="2" t="s">
        <v>41</v>
      </c>
      <c r="H1" s="3" t="s">
        <v>42</v>
      </c>
      <c r="I1" s="3" t="s">
        <v>43</v>
      </c>
      <c r="J1" s="3" t="s">
        <v>44</v>
      </c>
      <c r="K1" s="3" t="s">
        <v>45</v>
      </c>
    </row>
    <row r="2" spans="1:21" ht="15.6" x14ac:dyDescent="0.3">
      <c r="A2" s="8">
        <v>6</v>
      </c>
      <c r="B2" s="1">
        <v>125</v>
      </c>
      <c r="C2" s="1">
        <v>20</v>
      </c>
      <c r="D2" s="1">
        <v>252.47980000000001</v>
      </c>
      <c r="E2" s="4">
        <v>1.655</v>
      </c>
      <c r="G2" s="1">
        <f>SQRT(A2)</f>
        <v>2.4494897427831779</v>
      </c>
      <c r="H2" s="1">
        <f t="shared" ref="H2:K2" si="0">SQRT(B2)</f>
        <v>11.180339887498949</v>
      </c>
      <c r="I2" s="1">
        <f t="shared" si="0"/>
        <v>4.4721359549995796</v>
      </c>
      <c r="J2" s="1">
        <f t="shared" si="0"/>
        <v>15.889612959414714</v>
      </c>
      <c r="K2" s="1">
        <f t="shared" si="0"/>
        <v>1.2864680330268607</v>
      </c>
    </row>
    <row r="3" spans="1:21" ht="15.6" x14ac:dyDescent="0.3">
      <c r="A3" s="8">
        <v>6</v>
      </c>
      <c r="B3" s="1">
        <v>125</v>
      </c>
      <c r="C3" s="1">
        <v>10</v>
      </c>
      <c r="D3" s="1">
        <v>508.84500000000003</v>
      </c>
      <c r="E3" s="4">
        <v>3.6509999999999998</v>
      </c>
      <c r="G3" s="1">
        <f t="shared" ref="G3:G66" si="1">SQRT(A3)</f>
        <v>2.4494897427831779</v>
      </c>
      <c r="H3" s="1">
        <f t="shared" ref="H3:H66" si="2">SQRT(B3)</f>
        <v>11.180339887498949</v>
      </c>
      <c r="I3" s="1">
        <f t="shared" ref="I3:I66" si="3">SQRT(C3)</f>
        <v>3.1622776601683795</v>
      </c>
      <c r="J3" s="1">
        <f t="shared" ref="J3:J66" si="4">SQRT(D3)</f>
        <v>22.557592956696421</v>
      </c>
      <c r="K3" s="1">
        <f t="shared" ref="K3:K66" si="5">SQRT(E3)</f>
        <v>1.9107590114925534</v>
      </c>
    </row>
    <row r="4" spans="1:21" ht="15.6" x14ac:dyDescent="0.3">
      <c r="A4" s="8">
        <v>6</v>
      </c>
      <c r="B4" s="1">
        <v>100</v>
      </c>
      <c r="C4" s="1">
        <v>20</v>
      </c>
      <c r="D4" s="1">
        <v>362.72480000000002</v>
      </c>
      <c r="E4" s="4">
        <v>1.95</v>
      </c>
      <c r="G4" s="1">
        <f t="shared" si="1"/>
        <v>2.4494897427831779</v>
      </c>
      <c r="H4" s="1">
        <f t="shared" si="2"/>
        <v>10</v>
      </c>
      <c r="I4" s="1">
        <f t="shared" si="3"/>
        <v>4.4721359549995796</v>
      </c>
      <c r="J4" s="1">
        <f t="shared" si="4"/>
        <v>19.045335386912985</v>
      </c>
      <c r="K4" s="1">
        <f t="shared" si="5"/>
        <v>1.3964240043768941</v>
      </c>
      <c r="M4" t="s">
        <v>3</v>
      </c>
      <c r="N4"/>
      <c r="O4"/>
      <c r="P4"/>
      <c r="Q4"/>
      <c r="R4"/>
      <c r="S4"/>
      <c r="T4"/>
      <c r="U4"/>
    </row>
    <row r="5" spans="1:21" ht="16.2" thickBot="1" x14ac:dyDescent="0.35">
      <c r="A5" s="8">
        <v>0</v>
      </c>
      <c r="B5" s="1">
        <v>150</v>
      </c>
      <c r="C5" s="1">
        <v>20</v>
      </c>
      <c r="D5" s="1">
        <v>244.53290000000001</v>
      </c>
      <c r="E5" s="4">
        <v>18.03</v>
      </c>
      <c r="G5" s="1">
        <f t="shared" si="1"/>
        <v>0</v>
      </c>
      <c r="H5" s="1">
        <f t="shared" si="2"/>
        <v>12.24744871391589</v>
      </c>
      <c r="I5" s="1">
        <f t="shared" si="3"/>
        <v>4.4721359549995796</v>
      </c>
      <c r="J5" s="1">
        <f t="shared" si="4"/>
        <v>15.637547761717629</v>
      </c>
      <c r="K5" s="1">
        <f t="shared" si="5"/>
        <v>4.2461747491124289</v>
      </c>
      <c r="M5"/>
      <c r="N5"/>
      <c r="O5"/>
      <c r="P5"/>
      <c r="Q5"/>
      <c r="R5"/>
      <c r="S5"/>
      <c r="T5"/>
      <c r="U5"/>
    </row>
    <row r="6" spans="1:21" ht="15.6" x14ac:dyDescent="0.3">
      <c r="A6" s="8">
        <v>6</v>
      </c>
      <c r="B6" s="1">
        <v>175</v>
      </c>
      <c r="C6" s="1">
        <v>25</v>
      </c>
      <c r="D6" s="1">
        <v>354.31630000000001</v>
      </c>
      <c r="E6" s="4">
        <v>2.5499999999999998</v>
      </c>
      <c r="G6" s="1">
        <f t="shared" si="1"/>
        <v>2.4494897427831779</v>
      </c>
      <c r="H6" s="1">
        <f t="shared" si="2"/>
        <v>13.228756555322953</v>
      </c>
      <c r="I6" s="1">
        <f t="shared" si="3"/>
        <v>5</v>
      </c>
      <c r="J6" s="1">
        <f t="shared" si="4"/>
        <v>18.823291423127891</v>
      </c>
      <c r="K6" s="1">
        <f t="shared" si="5"/>
        <v>1.5968719422671311</v>
      </c>
      <c r="M6" s="14" t="s">
        <v>4</v>
      </c>
      <c r="N6" s="14"/>
      <c r="O6"/>
      <c r="P6"/>
      <c r="Q6"/>
      <c r="R6"/>
      <c r="S6"/>
      <c r="T6"/>
      <c r="U6"/>
    </row>
    <row r="7" spans="1:21" ht="15.6" x14ac:dyDescent="0.3">
      <c r="A7" s="8">
        <v>6</v>
      </c>
      <c r="B7" s="1">
        <v>175</v>
      </c>
      <c r="C7" s="1">
        <v>25</v>
      </c>
      <c r="D7" s="1">
        <v>242.50960000000001</v>
      </c>
      <c r="E7" s="4">
        <v>1.88</v>
      </c>
      <c r="G7" s="1">
        <f t="shared" si="1"/>
        <v>2.4494897427831779</v>
      </c>
      <c r="H7" s="1">
        <f t="shared" si="2"/>
        <v>13.228756555322953</v>
      </c>
      <c r="I7" s="1">
        <f t="shared" si="3"/>
        <v>5</v>
      </c>
      <c r="J7" s="1">
        <f t="shared" si="4"/>
        <v>15.572719736770454</v>
      </c>
      <c r="K7" s="1">
        <f t="shared" si="5"/>
        <v>1.3711309200802089</v>
      </c>
      <c r="M7" t="s">
        <v>5</v>
      </c>
      <c r="N7">
        <v>0.99650828785062218</v>
      </c>
      <c r="O7"/>
      <c r="P7"/>
      <c r="Q7"/>
      <c r="R7"/>
      <c r="S7"/>
      <c r="T7"/>
      <c r="U7"/>
    </row>
    <row r="8" spans="1:21" ht="15.6" x14ac:dyDescent="0.3">
      <c r="A8" s="8">
        <v>0</v>
      </c>
      <c r="B8" s="1">
        <v>200</v>
      </c>
      <c r="C8" s="1">
        <v>25</v>
      </c>
      <c r="D8" s="1">
        <v>384.82600000000002</v>
      </c>
      <c r="E8" s="4">
        <v>22.35</v>
      </c>
      <c r="G8" s="1">
        <f t="shared" si="1"/>
        <v>0</v>
      </c>
      <c r="H8" s="1">
        <f t="shared" si="2"/>
        <v>14.142135623730951</v>
      </c>
      <c r="I8" s="1">
        <f t="shared" si="3"/>
        <v>5</v>
      </c>
      <c r="J8" s="1">
        <f t="shared" si="4"/>
        <v>19.616982438693267</v>
      </c>
      <c r="K8" s="1">
        <f t="shared" si="5"/>
        <v>4.7275786614291251</v>
      </c>
      <c r="M8" t="s">
        <v>6</v>
      </c>
      <c r="N8">
        <v>0.9930287677549785</v>
      </c>
      <c r="O8"/>
      <c r="P8"/>
      <c r="Q8"/>
      <c r="R8"/>
      <c r="S8"/>
      <c r="T8"/>
      <c r="U8"/>
    </row>
    <row r="9" spans="1:21" ht="15.6" x14ac:dyDescent="0.3">
      <c r="A9" s="8">
        <v>3</v>
      </c>
      <c r="B9" s="1">
        <v>175</v>
      </c>
      <c r="C9" s="1">
        <v>15</v>
      </c>
      <c r="D9" s="1">
        <v>373.56360000000001</v>
      </c>
      <c r="E9" s="4">
        <v>6.2530000000000001</v>
      </c>
      <c r="G9" s="1">
        <f t="shared" si="1"/>
        <v>1.7320508075688772</v>
      </c>
      <c r="H9" s="1">
        <f t="shared" si="2"/>
        <v>13.228756555322953</v>
      </c>
      <c r="I9" s="1">
        <f t="shared" si="3"/>
        <v>3.872983346207417</v>
      </c>
      <c r="J9" s="1">
        <f t="shared" si="4"/>
        <v>19.327793459161342</v>
      </c>
      <c r="K9" s="1">
        <f t="shared" si="5"/>
        <v>2.5005999280172748</v>
      </c>
      <c r="M9" t="s">
        <v>7</v>
      </c>
      <c r="N9">
        <v>0.99286942530366362</v>
      </c>
      <c r="O9"/>
      <c r="P9"/>
      <c r="Q9"/>
      <c r="R9"/>
      <c r="S9"/>
      <c r="T9"/>
      <c r="U9"/>
    </row>
    <row r="10" spans="1:21" ht="15.6" x14ac:dyDescent="0.3">
      <c r="A10" s="8">
        <v>0</v>
      </c>
      <c r="B10" s="1">
        <v>175</v>
      </c>
      <c r="C10" s="1">
        <v>15</v>
      </c>
      <c r="D10" s="1">
        <v>376.65559999999999</v>
      </c>
      <c r="E10" s="4">
        <v>23.29</v>
      </c>
      <c r="G10" s="1">
        <f t="shared" si="1"/>
        <v>0</v>
      </c>
      <c r="H10" s="1">
        <f t="shared" si="2"/>
        <v>13.228756555322953</v>
      </c>
      <c r="I10" s="1">
        <f t="shared" si="3"/>
        <v>3.872983346207417</v>
      </c>
      <c r="J10" s="1">
        <f t="shared" si="4"/>
        <v>19.407617061349907</v>
      </c>
      <c r="K10" s="1">
        <f t="shared" si="5"/>
        <v>4.8259714048054612</v>
      </c>
      <c r="M10" t="s">
        <v>8</v>
      </c>
      <c r="N10">
        <v>0.10623087124386883</v>
      </c>
      <c r="O10"/>
      <c r="P10"/>
      <c r="Q10"/>
      <c r="R10"/>
      <c r="S10"/>
      <c r="T10"/>
      <c r="U10"/>
    </row>
    <row r="11" spans="1:21" ht="16.2" thickBot="1" x14ac:dyDescent="0.35">
      <c r="A11" s="8">
        <v>6</v>
      </c>
      <c r="B11" s="1">
        <v>200</v>
      </c>
      <c r="C11" s="1">
        <v>10</v>
      </c>
      <c r="D11" s="1">
        <v>517.41890000000001</v>
      </c>
      <c r="E11" s="4">
        <v>4.5830000000000002</v>
      </c>
      <c r="G11" s="1">
        <f t="shared" si="1"/>
        <v>2.4494897427831779</v>
      </c>
      <c r="H11" s="1">
        <f t="shared" si="2"/>
        <v>14.142135623730951</v>
      </c>
      <c r="I11" s="1">
        <f t="shared" si="3"/>
        <v>3.1622776601683795</v>
      </c>
      <c r="J11" s="1">
        <f t="shared" si="4"/>
        <v>22.746843737098999</v>
      </c>
      <c r="K11" s="1">
        <f t="shared" si="5"/>
        <v>2.1407942451342681</v>
      </c>
      <c r="M11" s="12" t="s">
        <v>9</v>
      </c>
      <c r="N11" s="12">
        <v>180</v>
      </c>
      <c r="O11"/>
      <c r="P11"/>
      <c r="Q11"/>
      <c r="R11"/>
      <c r="S11"/>
      <c r="T11"/>
      <c r="U11"/>
    </row>
    <row r="12" spans="1:21" ht="15.6" x14ac:dyDescent="0.3">
      <c r="A12" s="8">
        <v>6</v>
      </c>
      <c r="B12" s="1">
        <v>175</v>
      </c>
      <c r="C12" s="1">
        <v>15</v>
      </c>
      <c r="D12" s="1">
        <v>510.32220000000001</v>
      </c>
      <c r="E12" s="4">
        <v>3.585</v>
      </c>
      <c r="G12" s="1">
        <f t="shared" si="1"/>
        <v>2.4494897427831779</v>
      </c>
      <c r="H12" s="1">
        <f t="shared" si="2"/>
        <v>13.228756555322953</v>
      </c>
      <c r="I12" s="1">
        <f t="shared" si="3"/>
        <v>3.872983346207417</v>
      </c>
      <c r="J12" s="1">
        <f t="shared" si="4"/>
        <v>22.590312082837634</v>
      </c>
      <c r="K12" s="1">
        <f t="shared" si="5"/>
        <v>1.8934096228761488</v>
      </c>
      <c r="M12"/>
      <c r="N12"/>
      <c r="O12"/>
      <c r="P12"/>
      <c r="Q12"/>
      <c r="R12"/>
      <c r="S12"/>
      <c r="T12"/>
      <c r="U12"/>
    </row>
    <row r="13" spans="1:21" ht="16.2" thickBot="1" x14ac:dyDescent="0.35">
      <c r="A13" s="8">
        <v>6</v>
      </c>
      <c r="B13" s="1">
        <v>100</v>
      </c>
      <c r="C13" s="1">
        <v>15</v>
      </c>
      <c r="D13" s="1">
        <v>247.4813</v>
      </c>
      <c r="E13" s="5">
        <v>1.4750000000000001</v>
      </c>
      <c r="G13" s="1">
        <f t="shared" si="1"/>
        <v>2.4494897427831779</v>
      </c>
      <c r="H13" s="1">
        <f t="shared" si="2"/>
        <v>10</v>
      </c>
      <c r="I13" s="1">
        <f t="shared" si="3"/>
        <v>3.872983346207417</v>
      </c>
      <c r="J13" s="1">
        <f t="shared" si="4"/>
        <v>15.731538386311748</v>
      </c>
      <c r="K13" s="1">
        <f t="shared" si="5"/>
        <v>1.2144957801491119</v>
      </c>
      <c r="M13" t="s">
        <v>10</v>
      </c>
      <c r="N13"/>
      <c r="O13"/>
      <c r="P13"/>
      <c r="Q13"/>
      <c r="R13"/>
      <c r="S13"/>
      <c r="T13"/>
      <c r="U13"/>
    </row>
    <row r="14" spans="1:21" ht="15.6" x14ac:dyDescent="0.3">
      <c r="A14" s="8">
        <v>3</v>
      </c>
      <c r="B14" s="1">
        <v>150</v>
      </c>
      <c r="C14" s="1">
        <v>25</v>
      </c>
      <c r="D14" s="1">
        <v>240.58320000000001</v>
      </c>
      <c r="E14" s="4">
        <v>4.95</v>
      </c>
      <c r="G14" s="1">
        <f t="shared" si="1"/>
        <v>1.7320508075688772</v>
      </c>
      <c r="H14" s="1">
        <f t="shared" si="2"/>
        <v>12.24744871391589</v>
      </c>
      <c r="I14" s="1">
        <f t="shared" si="3"/>
        <v>5</v>
      </c>
      <c r="J14" s="1">
        <f t="shared" si="4"/>
        <v>15.51074466297476</v>
      </c>
      <c r="K14" s="1">
        <f t="shared" si="5"/>
        <v>2.2248595461286991</v>
      </c>
      <c r="M14" s="13"/>
      <c r="N14" s="13" t="s">
        <v>11</v>
      </c>
      <c r="O14" s="13" t="s">
        <v>12</v>
      </c>
      <c r="P14" s="13" t="s">
        <v>13</v>
      </c>
      <c r="Q14" s="13" t="s">
        <v>14</v>
      </c>
      <c r="R14" s="13" t="s">
        <v>15</v>
      </c>
      <c r="S14"/>
      <c r="T14"/>
      <c r="U14"/>
    </row>
    <row r="15" spans="1:21" ht="15.6" x14ac:dyDescent="0.3">
      <c r="A15" s="8">
        <v>3</v>
      </c>
      <c r="B15" s="1">
        <v>175</v>
      </c>
      <c r="C15" s="1">
        <v>5</v>
      </c>
      <c r="D15" s="1">
        <v>239.70070000000001</v>
      </c>
      <c r="E15" s="4">
        <v>7</v>
      </c>
      <c r="G15" s="1">
        <f t="shared" si="1"/>
        <v>1.7320508075688772</v>
      </c>
      <c r="H15" s="1">
        <f t="shared" si="2"/>
        <v>13.228756555322953</v>
      </c>
      <c r="I15" s="1">
        <f t="shared" si="3"/>
        <v>2.2360679774997898</v>
      </c>
      <c r="J15" s="1">
        <f t="shared" si="4"/>
        <v>15.482270505323179</v>
      </c>
      <c r="K15" s="1">
        <f t="shared" si="5"/>
        <v>2.6457513110645907</v>
      </c>
      <c r="M15" t="s">
        <v>16</v>
      </c>
      <c r="N15">
        <v>4</v>
      </c>
      <c r="O15">
        <v>281.31430314485721</v>
      </c>
      <c r="P15">
        <v>70.328575786214302</v>
      </c>
      <c r="Q15">
        <v>6232.0414902698049</v>
      </c>
      <c r="R15">
        <v>1.7120848995021697E-187</v>
      </c>
      <c r="S15"/>
      <c r="T15"/>
      <c r="U15"/>
    </row>
    <row r="16" spans="1:21" ht="15.6" x14ac:dyDescent="0.3">
      <c r="A16" s="8">
        <v>6</v>
      </c>
      <c r="B16" s="1">
        <v>200</v>
      </c>
      <c r="C16" s="1">
        <v>10</v>
      </c>
      <c r="D16" s="1">
        <v>366.22829999999999</v>
      </c>
      <c r="E16" s="4">
        <v>3.742</v>
      </c>
      <c r="G16" s="1">
        <f t="shared" si="1"/>
        <v>2.4494897427831779</v>
      </c>
      <c r="H16" s="1">
        <f t="shared" si="2"/>
        <v>14.142135623730951</v>
      </c>
      <c r="I16" s="1">
        <f t="shared" si="3"/>
        <v>3.1622776601683795</v>
      </c>
      <c r="J16" s="1">
        <f t="shared" si="4"/>
        <v>19.137092255617102</v>
      </c>
      <c r="K16" s="1">
        <f t="shared" si="5"/>
        <v>1.934424979160474</v>
      </c>
      <c r="M16" t="s">
        <v>17</v>
      </c>
      <c r="N16">
        <v>175</v>
      </c>
      <c r="O16">
        <v>1.9748746509155017</v>
      </c>
      <c r="P16">
        <v>1.1284998005231438E-2</v>
      </c>
      <c r="Q16"/>
      <c r="R16"/>
      <c r="S16"/>
      <c r="T16"/>
      <c r="U16"/>
    </row>
    <row r="17" spans="1:21" ht="16.2" thickBot="1" x14ac:dyDescent="0.35">
      <c r="A17" s="8">
        <v>6</v>
      </c>
      <c r="B17" s="1">
        <v>150</v>
      </c>
      <c r="C17" s="1">
        <v>10</v>
      </c>
      <c r="D17" s="1">
        <v>488.79349999999999</v>
      </c>
      <c r="E17" s="4">
        <v>3.9889999999999999</v>
      </c>
      <c r="G17" s="1">
        <f t="shared" si="1"/>
        <v>2.4494897427831779</v>
      </c>
      <c r="H17" s="1">
        <f t="shared" si="2"/>
        <v>12.24744871391589</v>
      </c>
      <c r="I17" s="1">
        <f t="shared" si="3"/>
        <v>3.1622776601683795</v>
      </c>
      <c r="J17" s="1">
        <f t="shared" si="4"/>
        <v>22.108674768063327</v>
      </c>
      <c r="K17" s="1">
        <f t="shared" si="5"/>
        <v>1.9972481067709138</v>
      </c>
      <c r="M17" s="12" t="s">
        <v>18</v>
      </c>
      <c r="N17" s="12">
        <v>179</v>
      </c>
      <c r="O17" s="12">
        <v>283.28917779577273</v>
      </c>
      <c r="P17" s="12"/>
      <c r="Q17" s="12"/>
      <c r="R17" s="12"/>
      <c r="S17"/>
      <c r="T17"/>
      <c r="U17"/>
    </row>
    <row r="18" spans="1:21" ht="16.2" thickBot="1" x14ac:dyDescent="0.35">
      <c r="A18" s="8">
        <v>6</v>
      </c>
      <c r="B18" s="1">
        <v>125</v>
      </c>
      <c r="C18" s="1">
        <v>25</v>
      </c>
      <c r="D18" s="1">
        <v>365.30410000000001</v>
      </c>
      <c r="E18" s="4">
        <v>2.1779999999999999</v>
      </c>
      <c r="G18" s="1">
        <f t="shared" si="1"/>
        <v>2.4494897427831779</v>
      </c>
      <c r="H18" s="1">
        <f t="shared" si="2"/>
        <v>11.180339887498949</v>
      </c>
      <c r="I18" s="1">
        <f t="shared" si="3"/>
        <v>5</v>
      </c>
      <c r="J18" s="1">
        <f t="shared" si="4"/>
        <v>19.112930178285065</v>
      </c>
      <c r="K18" s="1">
        <f t="shared" si="5"/>
        <v>1.4758048651498612</v>
      </c>
      <c r="M18"/>
      <c r="N18"/>
      <c r="O18"/>
      <c r="P18"/>
      <c r="Q18"/>
      <c r="R18"/>
      <c r="S18"/>
      <c r="T18"/>
      <c r="U18"/>
    </row>
    <row r="19" spans="1:21" ht="15.6" x14ac:dyDescent="0.3">
      <c r="A19" s="8">
        <v>3</v>
      </c>
      <c r="B19" s="1">
        <v>175</v>
      </c>
      <c r="C19" s="1">
        <v>10</v>
      </c>
      <c r="D19" s="1">
        <v>247.21940000000001</v>
      </c>
      <c r="E19" s="4">
        <v>5.85</v>
      </c>
      <c r="G19" s="1">
        <f t="shared" si="1"/>
        <v>1.7320508075688772</v>
      </c>
      <c r="H19" s="1">
        <f t="shared" si="2"/>
        <v>13.228756555322953</v>
      </c>
      <c r="I19" s="1">
        <f t="shared" si="3"/>
        <v>3.1622776601683795</v>
      </c>
      <c r="J19" s="1">
        <f t="shared" si="4"/>
        <v>15.723212140017701</v>
      </c>
      <c r="K19" s="1">
        <f t="shared" si="5"/>
        <v>2.4186773244895647</v>
      </c>
      <c r="M19" s="13"/>
      <c r="N19" s="13" t="s">
        <v>19</v>
      </c>
      <c r="O19" s="13" t="s">
        <v>8</v>
      </c>
      <c r="P19" s="13" t="s">
        <v>20</v>
      </c>
      <c r="Q19" s="13" t="s">
        <v>21</v>
      </c>
      <c r="R19" s="13" t="s">
        <v>22</v>
      </c>
      <c r="S19" s="13" t="s">
        <v>23</v>
      </c>
      <c r="T19" s="13" t="s">
        <v>24</v>
      </c>
      <c r="U19" s="13" t="s">
        <v>25</v>
      </c>
    </row>
    <row r="20" spans="1:21" ht="15.6" x14ac:dyDescent="0.3">
      <c r="A20" s="8">
        <v>3</v>
      </c>
      <c r="B20" s="1">
        <v>150</v>
      </c>
      <c r="C20" s="1">
        <v>10</v>
      </c>
      <c r="D20" s="1">
        <v>501.4495</v>
      </c>
      <c r="E20" s="4">
        <v>7.3259999999999996</v>
      </c>
      <c r="G20" s="1">
        <f t="shared" si="1"/>
        <v>1.7320508075688772</v>
      </c>
      <c r="H20" s="1">
        <f t="shared" si="2"/>
        <v>12.24744871391589</v>
      </c>
      <c r="I20" s="1">
        <f t="shared" si="3"/>
        <v>3.1622776601683795</v>
      </c>
      <c r="J20" s="1">
        <f t="shared" si="4"/>
        <v>22.393068123863689</v>
      </c>
      <c r="K20" s="1">
        <f t="shared" si="5"/>
        <v>2.7066584564735905</v>
      </c>
      <c r="M20" t="s">
        <v>26</v>
      </c>
      <c r="N20" s="17">
        <v>2.9009304075346574</v>
      </c>
      <c r="O20">
        <v>9.2367500266825414E-2</v>
      </c>
      <c r="P20">
        <v>31.40639726261545</v>
      </c>
      <c r="Q20" s="17">
        <v>7.8704968751509215E-74</v>
      </c>
      <c r="R20">
        <v>2.7186327579284759</v>
      </c>
      <c r="S20">
        <v>3.0832280571408388</v>
      </c>
      <c r="T20">
        <v>2.7186327579284759</v>
      </c>
      <c r="U20">
        <v>3.0832280571408388</v>
      </c>
    </row>
    <row r="21" spans="1:21" ht="15.6" x14ac:dyDescent="0.3">
      <c r="A21" s="8">
        <v>3</v>
      </c>
      <c r="B21" s="1">
        <v>200</v>
      </c>
      <c r="C21" s="1">
        <v>20</v>
      </c>
      <c r="D21" s="1">
        <v>246.53380000000001</v>
      </c>
      <c r="E21" s="4">
        <v>5.4</v>
      </c>
      <c r="G21" s="1">
        <f t="shared" si="1"/>
        <v>1.7320508075688772</v>
      </c>
      <c r="H21" s="1">
        <f t="shared" si="2"/>
        <v>14.142135623730951</v>
      </c>
      <c r="I21" s="1">
        <f t="shared" si="3"/>
        <v>4.4721359549995796</v>
      </c>
      <c r="J21" s="1">
        <f t="shared" si="4"/>
        <v>15.701394842497274</v>
      </c>
      <c r="K21" s="1">
        <f t="shared" si="5"/>
        <v>2.3237900077244502</v>
      </c>
      <c r="M21" t="s">
        <v>41</v>
      </c>
      <c r="N21" s="17">
        <v>-1.1910105862930367</v>
      </c>
      <c r="O21">
        <v>7.758828278157711E-3</v>
      </c>
      <c r="P21">
        <v>-153.50392399402804</v>
      </c>
      <c r="Q21" s="17">
        <v>1.5672185077439169E-188</v>
      </c>
      <c r="R21">
        <v>-1.2063235064729727</v>
      </c>
      <c r="S21">
        <v>-1.1756976661131007</v>
      </c>
      <c r="T21">
        <v>-1.2063235064729727</v>
      </c>
      <c r="U21">
        <v>-1.1756976661131007</v>
      </c>
    </row>
    <row r="22" spans="1:21" ht="15.6" x14ac:dyDescent="0.3">
      <c r="A22" s="8">
        <v>0</v>
      </c>
      <c r="B22" s="1">
        <v>200</v>
      </c>
      <c r="C22" s="1">
        <v>10</v>
      </c>
      <c r="D22" s="1">
        <v>516.7627</v>
      </c>
      <c r="E22" s="4">
        <v>28.15</v>
      </c>
      <c r="G22" s="1">
        <f t="shared" si="1"/>
        <v>0</v>
      </c>
      <c r="H22" s="1">
        <f t="shared" si="2"/>
        <v>14.142135623730951</v>
      </c>
      <c r="I22" s="1">
        <f t="shared" si="3"/>
        <v>3.1622776601683795</v>
      </c>
      <c r="J22" s="1">
        <f t="shared" si="4"/>
        <v>22.732415181849905</v>
      </c>
      <c r="K22" s="1">
        <f t="shared" si="5"/>
        <v>5.3056573579529234</v>
      </c>
      <c r="M22" t="s">
        <v>42</v>
      </c>
      <c r="N22" s="17">
        <v>8.9840034875981051E-2</v>
      </c>
      <c r="O22">
        <v>5.5114964938845854E-3</v>
      </c>
      <c r="P22">
        <v>16.300479366296475</v>
      </c>
      <c r="Q22" s="17">
        <v>6.178743640355516E-37</v>
      </c>
      <c r="R22">
        <v>7.8962476711632562E-2</v>
      </c>
      <c r="S22">
        <v>0.10071759304032954</v>
      </c>
      <c r="T22">
        <v>7.8962476711632562E-2</v>
      </c>
      <c r="U22">
        <v>0.10071759304032954</v>
      </c>
    </row>
    <row r="23" spans="1:21" ht="15.6" x14ac:dyDescent="0.3">
      <c r="A23" s="8">
        <v>0</v>
      </c>
      <c r="B23" s="1">
        <v>100</v>
      </c>
      <c r="C23" s="1">
        <v>5</v>
      </c>
      <c r="D23" s="1">
        <v>358.33339999999998</v>
      </c>
      <c r="E23" s="4">
        <v>20.6</v>
      </c>
      <c r="G23" s="1">
        <f t="shared" si="1"/>
        <v>0</v>
      </c>
      <c r="H23" s="1">
        <f t="shared" si="2"/>
        <v>10</v>
      </c>
      <c r="I23" s="1">
        <f t="shared" si="3"/>
        <v>2.2360679774997898</v>
      </c>
      <c r="J23" s="1">
        <f t="shared" si="4"/>
        <v>18.929696246902644</v>
      </c>
      <c r="K23" s="1">
        <f t="shared" si="5"/>
        <v>4.5387222871640871</v>
      </c>
      <c r="M23" t="s">
        <v>43</v>
      </c>
      <c r="N23" s="17">
        <v>-0.16630447961410136</v>
      </c>
      <c r="O23">
        <v>7.9855928067573915E-3</v>
      </c>
      <c r="P23">
        <v>-20.825564693628614</v>
      </c>
      <c r="Q23" s="17">
        <v>3.0388133314568882E-49</v>
      </c>
      <c r="R23">
        <v>-0.18206494509361101</v>
      </c>
      <c r="S23">
        <v>-0.1505440141345917</v>
      </c>
      <c r="T23">
        <v>-0.18206494509361101</v>
      </c>
      <c r="U23">
        <v>-0.1505440141345917</v>
      </c>
    </row>
    <row r="24" spans="1:21" ht="16.2" thickBot="1" x14ac:dyDescent="0.35">
      <c r="A24" s="8">
        <v>0</v>
      </c>
      <c r="B24" s="1">
        <v>125</v>
      </c>
      <c r="C24" s="1">
        <v>10</v>
      </c>
      <c r="D24" s="1">
        <v>244.0942</v>
      </c>
      <c r="E24" s="4">
        <v>18.38</v>
      </c>
      <c r="G24" s="1">
        <f t="shared" si="1"/>
        <v>0</v>
      </c>
      <c r="H24" s="1">
        <f t="shared" si="2"/>
        <v>11.180339887498949</v>
      </c>
      <c r="I24" s="1">
        <f t="shared" si="3"/>
        <v>3.1622776601683795</v>
      </c>
      <c r="J24" s="1">
        <f t="shared" si="4"/>
        <v>15.623514329369049</v>
      </c>
      <c r="K24" s="1">
        <f t="shared" si="5"/>
        <v>4.2871902220452034</v>
      </c>
      <c r="M24" s="12" t="s">
        <v>44</v>
      </c>
      <c r="N24" s="18">
        <v>6.426032855374253E-2</v>
      </c>
      <c r="O24" s="12">
        <v>2.8467372044684801E-3</v>
      </c>
      <c r="P24" s="12">
        <v>22.573326562379577</v>
      </c>
      <c r="Q24" s="18">
        <v>1.0248622132057723E-53</v>
      </c>
      <c r="R24" s="12">
        <v>5.8641972531094363E-2</v>
      </c>
      <c r="S24" s="12">
        <v>6.9878684576390696E-2</v>
      </c>
      <c r="T24" s="12">
        <v>5.8641972531094363E-2</v>
      </c>
      <c r="U24" s="12">
        <v>6.9878684576390696E-2</v>
      </c>
    </row>
    <row r="25" spans="1:21" ht="15.6" x14ac:dyDescent="0.3">
      <c r="A25" s="8">
        <v>6</v>
      </c>
      <c r="B25" s="1">
        <v>175</v>
      </c>
      <c r="C25" s="1">
        <v>25</v>
      </c>
      <c r="D25" s="1">
        <v>485.11500000000001</v>
      </c>
      <c r="E25" s="5">
        <v>3.05</v>
      </c>
      <c r="G25" s="1">
        <f t="shared" si="1"/>
        <v>2.4494897427831779</v>
      </c>
      <c r="H25" s="1">
        <f t="shared" si="2"/>
        <v>13.228756555322953</v>
      </c>
      <c r="I25" s="1">
        <f t="shared" si="3"/>
        <v>5</v>
      </c>
      <c r="J25" s="1">
        <f t="shared" si="4"/>
        <v>22.025326331294163</v>
      </c>
      <c r="K25" s="1">
        <f t="shared" si="5"/>
        <v>1.7464249196572981</v>
      </c>
      <c r="M25"/>
      <c r="N25"/>
      <c r="O25"/>
      <c r="P25"/>
      <c r="Q25"/>
      <c r="R25"/>
      <c r="S25"/>
      <c r="T25"/>
      <c r="U25"/>
    </row>
    <row r="26" spans="1:21" ht="15.6" x14ac:dyDescent="0.3">
      <c r="A26" s="8">
        <v>6</v>
      </c>
      <c r="B26" s="1">
        <v>200</v>
      </c>
      <c r="C26" s="1">
        <v>20</v>
      </c>
      <c r="D26" s="1">
        <v>497.35379999999998</v>
      </c>
      <c r="E26" s="4">
        <v>3.4430000000000001</v>
      </c>
      <c r="G26" s="1">
        <f t="shared" si="1"/>
        <v>2.4494897427831779</v>
      </c>
      <c r="H26" s="1">
        <f t="shared" si="2"/>
        <v>14.142135623730951</v>
      </c>
      <c r="I26" s="1">
        <f t="shared" si="3"/>
        <v>4.4721359549995796</v>
      </c>
      <c r="J26" s="1">
        <f t="shared" si="4"/>
        <v>22.301430447395074</v>
      </c>
      <c r="K26" s="1">
        <f t="shared" si="5"/>
        <v>1.8555322686496185</v>
      </c>
      <c r="M26"/>
      <c r="N26"/>
      <c r="O26"/>
      <c r="P26"/>
      <c r="Q26"/>
      <c r="R26"/>
      <c r="S26"/>
      <c r="T26"/>
      <c r="U26"/>
    </row>
    <row r="27" spans="1:21" ht="15.6" x14ac:dyDescent="0.3">
      <c r="A27" s="8">
        <v>6</v>
      </c>
      <c r="B27" s="1">
        <v>150</v>
      </c>
      <c r="C27" s="1">
        <v>20</v>
      </c>
      <c r="D27" s="1">
        <v>244.17570000000001</v>
      </c>
      <c r="E27" s="4">
        <v>1.79</v>
      </c>
      <c r="G27" s="1">
        <f t="shared" si="1"/>
        <v>2.4494897427831779</v>
      </c>
      <c r="H27" s="1">
        <f t="shared" si="2"/>
        <v>12.24744871391589</v>
      </c>
      <c r="I27" s="1">
        <f t="shared" si="3"/>
        <v>4.4721359549995796</v>
      </c>
      <c r="J27" s="1">
        <f t="shared" si="4"/>
        <v>15.62612235968988</v>
      </c>
      <c r="K27" s="1">
        <f t="shared" si="5"/>
        <v>1.3379088160259651</v>
      </c>
      <c r="M27"/>
      <c r="N27"/>
      <c r="O27"/>
      <c r="P27"/>
      <c r="Q27"/>
    </row>
    <row r="28" spans="1:21" ht="15.6" x14ac:dyDescent="0.3">
      <c r="A28" s="8">
        <v>3</v>
      </c>
      <c r="B28" s="1">
        <v>100</v>
      </c>
      <c r="C28" s="1">
        <v>15</v>
      </c>
      <c r="D28" s="1">
        <v>239.351</v>
      </c>
      <c r="E28" s="4">
        <v>4.6500000000000004</v>
      </c>
      <c r="G28" s="1">
        <f t="shared" si="1"/>
        <v>1.7320508075688772</v>
      </c>
      <c r="H28" s="1">
        <f t="shared" si="2"/>
        <v>10</v>
      </c>
      <c r="I28" s="1">
        <f t="shared" si="3"/>
        <v>3.872983346207417</v>
      </c>
      <c r="J28" s="1">
        <f t="shared" si="4"/>
        <v>15.470972820091179</v>
      </c>
      <c r="K28" s="1">
        <f t="shared" si="5"/>
        <v>2.1563858652847827</v>
      </c>
      <c r="M28" s="15" t="s">
        <v>33</v>
      </c>
      <c r="N28" s="15">
        <v>0.1229</v>
      </c>
      <c r="P28" s="16"/>
    </row>
    <row r="29" spans="1:21" ht="15.6" x14ac:dyDescent="0.3">
      <c r="A29" s="8">
        <v>3</v>
      </c>
      <c r="B29" s="1">
        <v>125</v>
      </c>
      <c r="C29" s="1">
        <v>5</v>
      </c>
      <c r="D29" s="1">
        <v>240.59970000000001</v>
      </c>
      <c r="E29" s="5">
        <v>6.5709999999999997</v>
      </c>
      <c r="G29" s="1">
        <f t="shared" si="1"/>
        <v>1.7320508075688772</v>
      </c>
      <c r="H29" s="1">
        <f t="shared" si="2"/>
        <v>11.180339887498949</v>
      </c>
      <c r="I29" s="1">
        <f t="shared" si="3"/>
        <v>2.2360679774997898</v>
      </c>
      <c r="J29" s="1">
        <f t="shared" si="4"/>
        <v>15.511276543212039</v>
      </c>
      <c r="K29" s="1">
        <f t="shared" si="5"/>
        <v>2.5633961847517837</v>
      </c>
      <c r="M29" s="15" t="s">
        <v>34</v>
      </c>
      <c r="N29" s="15">
        <v>4.5600000000000002E-2</v>
      </c>
    </row>
    <row r="30" spans="1:21" ht="15.6" x14ac:dyDescent="0.3">
      <c r="A30" s="8">
        <v>6</v>
      </c>
      <c r="B30" s="1">
        <v>175</v>
      </c>
      <c r="C30" s="1">
        <v>10</v>
      </c>
      <c r="D30" s="1">
        <v>486.92309999999998</v>
      </c>
      <c r="E30" s="4">
        <v>4.298</v>
      </c>
      <c r="G30" s="1">
        <f t="shared" si="1"/>
        <v>2.4494897427831779</v>
      </c>
      <c r="H30" s="1">
        <f t="shared" si="2"/>
        <v>13.228756555322953</v>
      </c>
      <c r="I30" s="1">
        <f t="shared" si="3"/>
        <v>3.1622776601683795</v>
      </c>
      <c r="J30" s="1">
        <f t="shared" si="4"/>
        <v>22.066334086114075</v>
      </c>
      <c r="K30" s="1">
        <f t="shared" si="5"/>
        <v>2.0731618364228104</v>
      </c>
      <c r="M30" s="15" t="s">
        <v>35</v>
      </c>
      <c r="N30" s="15">
        <v>0.99539999999999995</v>
      </c>
    </row>
    <row r="31" spans="1:21" ht="15.6" x14ac:dyDescent="0.3">
      <c r="A31" s="8">
        <v>3</v>
      </c>
      <c r="B31" s="1">
        <v>100</v>
      </c>
      <c r="C31" s="1">
        <v>15</v>
      </c>
      <c r="D31" s="1">
        <v>357.99860000000001</v>
      </c>
      <c r="E31" s="4">
        <v>5.35</v>
      </c>
      <c r="G31" s="1">
        <f t="shared" si="1"/>
        <v>1.7320508075688772</v>
      </c>
      <c r="H31" s="1">
        <f t="shared" si="2"/>
        <v>10</v>
      </c>
      <c r="I31" s="1">
        <f t="shared" si="3"/>
        <v>3.872983346207417</v>
      </c>
      <c r="J31" s="1">
        <f t="shared" si="4"/>
        <v>18.92085093223875</v>
      </c>
      <c r="K31" s="1">
        <f t="shared" si="5"/>
        <v>2.3130067012440754</v>
      </c>
      <c r="M31" s="15" t="s">
        <v>36</v>
      </c>
      <c r="N31" s="1">
        <v>0.59119999999999995</v>
      </c>
    </row>
    <row r="32" spans="1:21" ht="15.6" x14ac:dyDescent="0.3">
      <c r="A32" s="8">
        <v>3</v>
      </c>
      <c r="B32" s="1">
        <v>175</v>
      </c>
      <c r="C32" s="1">
        <v>10</v>
      </c>
      <c r="D32" s="1">
        <v>374.30070000000001</v>
      </c>
      <c r="E32" s="4">
        <v>6.8</v>
      </c>
      <c r="G32" s="1">
        <f t="shared" si="1"/>
        <v>1.7320508075688772</v>
      </c>
      <c r="H32" s="1">
        <f t="shared" si="2"/>
        <v>13.228756555322953</v>
      </c>
      <c r="I32" s="1">
        <f t="shared" si="3"/>
        <v>3.1622776601683795</v>
      </c>
      <c r="J32" s="1">
        <f t="shared" si="4"/>
        <v>19.346852457182795</v>
      </c>
      <c r="K32" s="1">
        <f t="shared" si="5"/>
        <v>2.6076809620810595</v>
      </c>
      <c r="M32" s="15" t="s">
        <v>37</v>
      </c>
      <c r="N32" s="15" t="s">
        <v>38</v>
      </c>
      <c r="P32" s="16"/>
    </row>
    <row r="33" spans="1:11" ht="15.6" x14ac:dyDescent="0.3">
      <c r="A33" s="8">
        <v>3</v>
      </c>
      <c r="B33" s="1">
        <v>100</v>
      </c>
      <c r="C33" s="1">
        <v>5</v>
      </c>
      <c r="D33" s="1">
        <v>256.81169999999997</v>
      </c>
      <c r="E33" s="4">
        <v>6.35</v>
      </c>
      <c r="G33" s="1">
        <f t="shared" si="1"/>
        <v>1.7320508075688772</v>
      </c>
      <c r="H33" s="1">
        <f t="shared" si="2"/>
        <v>10</v>
      </c>
      <c r="I33" s="1">
        <f t="shared" si="3"/>
        <v>2.2360679774997898</v>
      </c>
      <c r="J33" s="1">
        <f t="shared" si="4"/>
        <v>16.025345550096571</v>
      </c>
      <c r="K33" s="1">
        <f t="shared" si="5"/>
        <v>2.5199206336708304</v>
      </c>
    </row>
    <row r="34" spans="1:11" ht="15.6" x14ac:dyDescent="0.3">
      <c r="A34" s="8">
        <v>3</v>
      </c>
      <c r="B34" s="1">
        <v>175</v>
      </c>
      <c r="C34" s="1">
        <v>15</v>
      </c>
      <c r="D34" s="1">
        <v>498.00369999999998</v>
      </c>
      <c r="E34" s="4">
        <v>6.9</v>
      </c>
      <c r="G34" s="1">
        <f t="shared" si="1"/>
        <v>1.7320508075688772</v>
      </c>
      <c r="H34" s="1">
        <f t="shared" si="2"/>
        <v>13.228756555322953</v>
      </c>
      <c r="I34" s="1">
        <f t="shared" si="3"/>
        <v>3.872983346207417</v>
      </c>
      <c r="J34" s="1">
        <f t="shared" si="4"/>
        <v>22.31599650474968</v>
      </c>
      <c r="K34" s="1">
        <f t="shared" si="5"/>
        <v>2.6267851073127395</v>
      </c>
    </row>
    <row r="35" spans="1:11" ht="15.6" x14ac:dyDescent="0.3">
      <c r="A35" s="8">
        <v>0</v>
      </c>
      <c r="B35" s="1">
        <v>125</v>
      </c>
      <c r="C35" s="1">
        <v>10</v>
      </c>
      <c r="D35" s="1">
        <v>367.05430000000001</v>
      </c>
      <c r="E35" s="4">
        <v>21.4</v>
      </c>
      <c r="G35" s="1">
        <f t="shared" si="1"/>
        <v>0</v>
      </c>
      <c r="H35" s="1">
        <f t="shared" si="2"/>
        <v>11.180339887498949</v>
      </c>
      <c r="I35" s="1">
        <f t="shared" si="3"/>
        <v>3.1622776601683795</v>
      </c>
      <c r="J35" s="1">
        <f t="shared" si="4"/>
        <v>19.158661226714148</v>
      </c>
      <c r="K35" s="1">
        <f t="shared" si="5"/>
        <v>4.6260134024881507</v>
      </c>
    </row>
    <row r="36" spans="1:11" ht="15.6" x14ac:dyDescent="0.3">
      <c r="A36" s="8">
        <v>3</v>
      </c>
      <c r="B36" s="1">
        <v>125</v>
      </c>
      <c r="C36" s="1">
        <v>20</v>
      </c>
      <c r="D36" s="1">
        <v>362.04180000000002</v>
      </c>
      <c r="E36" s="4">
        <v>5.5</v>
      </c>
      <c r="G36" s="1">
        <f t="shared" si="1"/>
        <v>1.7320508075688772</v>
      </c>
      <c r="H36" s="1">
        <f t="shared" si="2"/>
        <v>11.180339887498949</v>
      </c>
      <c r="I36" s="1">
        <f t="shared" si="3"/>
        <v>4.4721359549995796</v>
      </c>
      <c r="J36" s="1">
        <f t="shared" si="4"/>
        <v>19.027396038344293</v>
      </c>
      <c r="K36" s="1">
        <f t="shared" si="5"/>
        <v>2.3452078799117149</v>
      </c>
    </row>
    <row r="37" spans="1:11" ht="15.6" x14ac:dyDescent="0.3">
      <c r="A37" s="8">
        <v>6</v>
      </c>
      <c r="B37" s="1">
        <v>100</v>
      </c>
      <c r="C37" s="1">
        <v>15</v>
      </c>
      <c r="D37" s="1">
        <v>515.44830000000002</v>
      </c>
      <c r="E37" s="4">
        <v>2.7330000000000001</v>
      </c>
      <c r="G37" s="1">
        <f t="shared" si="1"/>
        <v>2.4494897427831779</v>
      </c>
      <c r="H37" s="1">
        <f t="shared" si="2"/>
        <v>10</v>
      </c>
      <c r="I37" s="1">
        <f t="shared" si="3"/>
        <v>3.872983346207417</v>
      </c>
      <c r="J37" s="1">
        <f t="shared" si="4"/>
        <v>22.703486516392147</v>
      </c>
      <c r="K37" s="1">
        <f t="shared" si="5"/>
        <v>1.6531787562148264</v>
      </c>
    </row>
    <row r="38" spans="1:11" ht="15.6" x14ac:dyDescent="0.3">
      <c r="A38" s="8">
        <v>6</v>
      </c>
      <c r="B38" s="1">
        <v>100</v>
      </c>
      <c r="C38" s="1">
        <v>5</v>
      </c>
      <c r="D38" s="1">
        <v>503.9375</v>
      </c>
      <c r="E38" s="4">
        <v>4.8479999999999999</v>
      </c>
      <c r="G38" s="1">
        <f t="shared" si="1"/>
        <v>2.4494897427831779</v>
      </c>
      <c r="H38" s="1">
        <f t="shared" si="2"/>
        <v>10</v>
      </c>
      <c r="I38" s="1">
        <f t="shared" si="3"/>
        <v>2.2360679774997898</v>
      </c>
      <c r="J38" s="1">
        <f t="shared" si="4"/>
        <v>22.448552291851694</v>
      </c>
      <c r="K38" s="1">
        <f t="shared" si="5"/>
        <v>2.2018174311236614</v>
      </c>
    </row>
    <row r="39" spans="1:11" ht="15.6" x14ac:dyDescent="0.3">
      <c r="A39" s="8">
        <v>6</v>
      </c>
      <c r="B39" s="1">
        <v>175</v>
      </c>
      <c r="C39" s="1">
        <v>20</v>
      </c>
      <c r="D39" s="1">
        <v>246.7073</v>
      </c>
      <c r="E39" s="4">
        <v>2.0150000000000001</v>
      </c>
      <c r="G39" s="1">
        <f t="shared" si="1"/>
        <v>2.4494897427831779</v>
      </c>
      <c r="H39" s="1">
        <f t="shared" si="2"/>
        <v>13.228756555322953</v>
      </c>
      <c r="I39" s="1">
        <f t="shared" si="3"/>
        <v>4.4721359549995796</v>
      </c>
      <c r="J39" s="1">
        <f t="shared" si="4"/>
        <v>15.706918857624496</v>
      </c>
      <c r="K39" s="1">
        <f t="shared" si="5"/>
        <v>1.4195069566578391</v>
      </c>
    </row>
    <row r="40" spans="1:11" ht="15.6" x14ac:dyDescent="0.3">
      <c r="A40" s="8">
        <v>0</v>
      </c>
      <c r="B40" s="1">
        <v>200</v>
      </c>
      <c r="C40" s="1">
        <v>20</v>
      </c>
      <c r="D40" s="1">
        <v>489.75389999999999</v>
      </c>
      <c r="E40" s="4">
        <v>25.47</v>
      </c>
      <c r="G40" s="1">
        <f t="shared" si="1"/>
        <v>0</v>
      </c>
      <c r="H40" s="1">
        <f t="shared" si="2"/>
        <v>14.142135623730951</v>
      </c>
      <c r="I40" s="1">
        <f t="shared" si="3"/>
        <v>4.4721359549995796</v>
      </c>
      <c r="J40" s="1">
        <f t="shared" si="4"/>
        <v>22.1303840906569</v>
      </c>
      <c r="K40" s="1">
        <f t="shared" si="5"/>
        <v>5.0467811523782169</v>
      </c>
    </row>
    <row r="41" spans="1:11" ht="15.6" x14ac:dyDescent="0.3">
      <c r="A41" s="8">
        <v>0</v>
      </c>
      <c r="B41" s="1">
        <v>200</v>
      </c>
      <c r="C41" s="1">
        <v>15</v>
      </c>
      <c r="D41" s="1">
        <v>256.31139999999999</v>
      </c>
      <c r="E41" s="4">
        <v>20.85</v>
      </c>
      <c r="G41" s="1">
        <f t="shared" si="1"/>
        <v>0</v>
      </c>
      <c r="H41" s="1">
        <f t="shared" si="2"/>
        <v>14.142135623730951</v>
      </c>
      <c r="I41" s="1">
        <f t="shared" si="3"/>
        <v>3.872983346207417</v>
      </c>
      <c r="J41" s="1">
        <f t="shared" si="4"/>
        <v>16.00972829251015</v>
      </c>
      <c r="K41" s="1">
        <f t="shared" si="5"/>
        <v>4.5661800227323495</v>
      </c>
    </row>
    <row r="42" spans="1:11" ht="15.6" x14ac:dyDescent="0.3">
      <c r="A42" s="8">
        <v>6</v>
      </c>
      <c r="B42" s="1">
        <v>100</v>
      </c>
      <c r="C42" s="1">
        <v>25</v>
      </c>
      <c r="D42" s="1">
        <v>250.869</v>
      </c>
      <c r="E42" s="4">
        <v>1.2949999999999999</v>
      </c>
      <c r="G42" s="1">
        <f t="shared" si="1"/>
        <v>2.4494897427831779</v>
      </c>
      <c r="H42" s="1">
        <f t="shared" si="2"/>
        <v>10</v>
      </c>
      <c r="I42" s="1">
        <f t="shared" si="3"/>
        <v>5</v>
      </c>
      <c r="J42" s="1">
        <f t="shared" si="4"/>
        <v>15.83884465483515</v>
      </c>
      <c r="K42" s="1">
        <f t="shared" si="5"/>
        <v>1.1379806676741042</v>
      </c>
    </row>
    <row r="43" spans="1:11" ht="15.6" x14ac:dyDescent="0.3">
      <c r="A43" s="8">
        <v>0</v>
      </c>
      <c r="B43" s="1">
        <v>100</v>
      </c>
      <c r="C43" s="1">
        <v>15</v>
      </c>
      <c r="D43" s="1">
        <v>506.96809999999999</v>
      </c>
      <c r="E43" s="4">
        <v>21</v>
      </c>
      <c r="G43" s="1">
        <f t="shared" si="1"/>
        <v>0</v>
      </c>
      <c r="H43" s="1">
        <f t="shared" si="2"/>
        <v>10</v>
      </c>
      <c r="I43" s="1">
        <f t="shared" si="3"/>
        <v>3.872983346207417</v>
      </c>
      <c r="J43" s="1">
        <f t="shared" si="4"/>
        <v>22.515952122883899</v>
      </c>
      <c r="K43" s="1">
        <f t="shared" si="5"/>
        <v>4.5825756949558398</v>
      </c>
    </row>
    <row r="44" spans="1:11" ht="15.6" x14ac:dyDescent="0.3">
      <c r="A44" s="8">
        <v>3</v>
      </c>
      <c r="B44" s="1">
        <v>125</v>
      </c>
      <c r="C44" s="1">
        <v>25</v>
      </c>
      <c r="D44" s="1">
        <v>501.2747</v>
      </c>
      <c r="E44" s="4">
        <v>5.9</v>
      </c>
      <c r="G44" s="1">
        <f t="shared" si="1"/>
        <v>1.7320508075688772</v>
      </c>
      <c r="H44" s="1">
        <f t="shared" si="2"/>
        <v>11.180339887498949</v>
      </c>
      <c r="I44" s="1">
        <f t="shared" si="3"/>
        <v>5</v>
      </c>
      <c r="J44" s="1">
        <f t="shared" si="4"/>
        <v>22.389164790139002</v>
      </c>
      <c r="K44" s="1">
        <f t="shared" si="5"/>
        <v>2.4289915602982237</v>
      </c>
    </row>
    <row r="45" spans="1:11" ht="15.6" x14ac:dyDescent="0.3">
      <c r="A45" s="8">
        <v>6</v>
      </c>
      <c r="B45" s="1">
        <v>125</v>
      </c>
      <c r="C45" s="1">
        <v>20</v>
      </c>
      <c r="D45" s="1">
        <v>361.33819999999997</v>
      </c>
      <c r="E45" s="4">
        <v>2.27</v>
      </c>
      <c r="G45" s="1">
        <f t="shared" si="1"/>
        <v>2.4494897427831779</v>
      </c>
      <c r="H45" s="1">
        <f t="shared" si="2"/>
        <v>11.180339887498949</v>
      </c>
      <c r="I45" s="1">
        <f t="shared" si="3"/>
        <v>4.4721359549995796</v>
      </c>
      <c r="J45" s="1">
        <f t="shared" si="4"/>
        <v>19.008897916502153</v>
      </c>
      <c r="K45" s="1">
        <f t="shared" si="5"/>
        <v>1.5066519173319364</v>
      </c>
    </row>
    <row r="46" spans="1:11" ht="15.6" x14ac:dyDescent="0.3">
      <c r="A46" s="8">
        <v>6</v>
      </c>
      <c r="B46" s="1">
        <v>125</v>
      </c>
      <c r="C46" s="1">
        <v>20</v>
      </c>
      <c r="D46" s="1">
        <v>485.68430000000001</v>
      </c>
      <c r="E46" s="4">
        <v>2.75</v>
      </c>
      <c r="G46" s="1">
        <f t="shared" si="1"/>
        <v>2.4494897427831779</v>
      </c>
      <c r="H46" s="1">
        <f t="shared" si="2"/>
        <v>11.180339887498949</v>
      </c>
      <c r="I46" s="1">
        <f t="shared" si="3"/>
        <v>4.4721359549995796</v>
      </c>
      <c r="J46" s="1">
        <f t="shared" si="4"/>
        <v>22.038246300465925</v>
      </c>
      <c r="K46" s="1">
        <f t="shared" si="5"/>
        <v>1.6583123951776999</v>
      </c>
    </row>
    <row r="47" spans="1:11" ht="15.6" x14ac:dyDescent="0.3">
      <c r="A47" s="8">
        <v>6</v>
      </c>
      <c r="B47" s="1">
        <v>175</v>
      </c>
      <c r="C47" s="1">
        <v>5</v>
      </c>
      <c r="D47" s="1">
        <v>249.75409999999999</v>
      </c>
      <c r="E47" s="4">
        <v>3.7</v>
      </c>
      <c r="G47" s="1">
        <f t="shared" si="1"/>
        <v>2.4494897427831779</v>
      </c>
      <c r="H47" s="1">
        <f t="shared" si="2"/>
        <v>13.228756555322953</v>
      </c>
      <c r="I47" s="1">
        <f t="shared" si="3"/>
        <v>2.2360679774997898</v>
      </c>
      <c r="J47" s="1">
        <f t="shared" si="4"/>
        <v>15.803610347006154</v>
      </c>
      <c r="K47" s="1">
        <f t="shared" si="5"/>
        <v>1.9235384061671346</v>
      </c>
    </row>
    <row r="48" spans="1:11" ht="15.6" x14ac:dyDescent="0.3">
      <c r="A48" s="8">
        <v>0</v>
      </c>
      <c r="B48" s="1">
        <v>125</v>
      </c>
      <c r="C48" s="1">
        <v>20</v>
      </c>
      <c r="D48" s="1">
        <v>360.00549999999998</v>
      </c>
      <c r="E48" s="6">
        <v>19.05</v>
      </c>
      <c r="G48" s="1">
        <f t="shared" si="1"/>
        <v>0</v>
      </c>
      <c r="H48" s="1">
        <f t="shared" si="2"/>
        <v>11.180339887498949</v>
      </c>
      <c r="I48" s="1">
        <f t="shared" si="3"/>
        <v>4.4721359549995796</v>
      </c>
      <c r="J48" s="1">
        <f t="shared" si="4"/>
        <v>18.973810898182791</v>
      </c>
      <c r="K48" s="1">
        <f t="shared" si="5"/>
        <v>4.364630568559039</v>
      </c>
    </row>
    <row r="49" spans="1:11" ht="15.6" x14ac:dyDescent="0.3">
      <c r="A49" s="8">
        <v>0</v>
      </c>
      <c r="B49" s="1">
        <v>175</v>
      </c>
      <c r="C49" s="1">
        <v>20</v>
      </c>
      <c r="D49" s="1">
        <v>490.34269999999998</v>
      </c>
      <c r="E49" s="4">
        <v>24.15</v>
      </c>
      <c r="G49" s="1">
        <f t="shared" si="1"/>
        <v>0</v>
      </c>
      <c r="H49" s="1">
        <f t="shared" si="2"/>
        <v>13.228756555322953</v>
      </c>
      <c r="I49" s="1">
        <f t="shared" si="3"/>
        <v>4.4721359549995796</v>
      </c>
      <c r="J49" s="1">
        <f t="shared" si="4"/>
        <v>22.143683072154008</v>
      </c>
      <c r="K49" s="1">
        <f t="shared" si="5"/>
        <v>4.914264950122246</v>
      </c>
    </row>
    <row r="50" spans="1:11" ht="15.6" x14ac:dyDescent="0.3">
      <c r="A50" s="8">
        <v>6</v>
      </c>
      <c r="B50" s="1">
        <v>100</v>
      </c>
      <c r="C50" s="1">
        <v>25</v>
      </c>
      <c r="D50" s="1">
        <v>509.75</v>
      </c>
      <c r="E50" s="4">
        <v>2.35</v>
      </c>
      <c r="G50" s="1">
        <f t="shared" si="1"/>
        <v>2.4494897427831779</v>
      </c>
      <c r="H50" s="1">
        <f t="shared" si="2"/>
        <v>10</v>
      </c>
      <c r="I50" s="1">
        <f t="shared" si="3"/>
        <v>5</v>
      </c>
      <c r="J50" s="1">
        <f t="shared" si="4"/>
        <v>22.577643809751272</v>
      </c>
      <c r="K50" s="1">
        <f t="shared" si="5"/>
        <v>1.5329709716755893</v>
      </c>
    </row>
    <row r="51" spans="1:11" ht="15.6" x14ac:dyDescent="0.3">
      <c r="A51" s="8">
        <v>6</v>
      </c>
      <c r="B51" s="1">
        <v>175</v>
      </c>
      <c r="C51" s="1">
        <v>20</v>
      </c>
      <c r="D51" s="1">
        <v>364.97140000000002</v>
      </c>
      <c r="E51" s="4">
        <v>2.75</v>
      </c>
      <c r="G51" s="1">
        <f t="shared" si="1"/>
        <v>2.4494897427831779</v>
      </c>
      <c r="H51" s="1">
        <f t="shared" si="2"/>
        <v>13.228756555322953</v>
      </c>
      <c r="I51" s="1">
        <f t="shared" si="3"/>
        <v>4.4721359549995796</v>
      </c>
      <c r="J51" s="1">
        <f t="shared" si="4"/>
        <v>19.1042246636706</v>
      </c>
      <c r="K51" s="1">
        <f t="shared" si="5"/>
        <v>1.6583123951776999</v>
      </c>
    </row>
    <row r="52" spans="1:11" ht="15.6" x14ac:dyDescent="0.3">
      <c r="A52" s="8">
        <v>0</v>
      </c>
      <c r="B52" s="1">
        <v>150</v>
      </c>
      <c r="C52" s="1">
        <v>15</v>
      </c>
      <c r="D52" s="1">
        <v>489.7749</v>
      </c>
      <c r="E52" s="4">
        <v>24.3</v>
      </c>
      <c r="G52" s="1">
        <f t="shared" si="1"/>
        <v>0</v>
      </c>
      <c r="H52" s="1">
        <f t="shared" si="2"/>
        <v>12.24744871391589</v>
      </c>
      <c r="I52" s="1">
        <f t="shared" si="3"/>
        <v>3.872983346207417</v>
      </c>
      <c r="J52" s="1">
        <f t="shared" si="4"/>
        <v>22.130858546382697</v>
      </c>
      <c r="K52" s="1">
        <f t="shared" si="5"/>
        <v>4.9295030175464953</v>
      </c>
    </row>
    <row r="53" spans="1:11" ht="15.6" x14ac:dyDescent="0.3">
      <c r="A53" s="8">
        <v>3</v>
      </c>
      <c r="B53" s="1">
        <v>175</v>
      </c>
      <c r="C53" s="1">
        <v>5</v>
      </c>
      <c r="D53" s="1">
        <v>495.41890000000001</v>
      </c>
      <c r="E53" s="4">
        <v>9.1</v>
      </c>
      <c r="G53" s="1">
        <f t="shared" si="1"/>
        <v>1.7320508075688772</v>
      </c>
      <c r="H53" s="1">
        <f t="shared" si="2"/>
        <v>13.228756555322953</v>
      </c>
      <c r="I53" s="1">
        <f t="shared" si="3"/>
        <v>2.2360679774997898</v>
      </c>
      <c r="J53" s="1">
        <f t="shared" si="4"/>
        <v>22.258007547846685</v>
      </c>
      <c r="K53" s="1">
        <f t="shared" si="5"/>
        <v>3.0166206257996713</v>
      </c>
    </row>
    <row r="54" spans="1:11" ht="15.6" x14ac:dyDescent="0.3">
      <c r="A54" s="8">
        <v>3</v>
      </c>
      <c r="B54" s="1">
        <v>200</v>
      </c>
      <c r="C54" s="1">
        <v>10</v>
      </c>
      <c r="D54" s="1">
        <v>241.94829999999999</v>
      </c>
      <c r="E54" s="4">
        <v>6</v>
      </c>
      <c r="G54" s="1">
        <f t="shared" si="1"/>
        <v>1.7320508075688772</v>
      </c>
      <c r="H54" s="1">
        <f t="shared" si="2"/>
        <v>14.142135623730951</v>
      </c>
      <c r="I54" s="1">
        <f t="shared" si="3"/>
        <v>3.1622776601683795</v>
      </c>
      <c r="J54" s="1">
        <f t="shared" si="4"/>
        <v>15.554687396408839</v>
      </c>
      <c r="K54" s="1">
        <f t="shared" si="5"/>
        <v>2.4494897427831779</v>
      </c>
    </row>
    <row r="55" spans="1:11" ht="15.6" x14ac:dyDescent="0.3">
      <c r="A55" s="8">
        <v>6</v>
      </c>
      <c r="B55" s="1">
        <v>125</v>
      </c>
      <c r="C55" s="1">
        <v>25</v>
      </c>
      <c r="D55" s="1">
        <v>499.51620000000003</v>
      </c>
      <c r="E55" s="4">
        <v>2.6850000000000001</v>
      </c>
      <c r="G55" s="1">
        <f t="shared" si="1"/>
        <v>2.4494897427831779</v>
      </c>
      <c r="H55" s="1">
        <f t="shared" si="2"/>
        <v>11.180339887498949</v>
      </c>
      <c r="I55" s="1">
        <f t="shared" si="3"/>
        <v>5</v>
      </c>
      <c r="J55" s="1">
        <f t="shared" si="4"/>
        <v>22.349859059958298</v>
      </c>
      <c r="K55" s="1">
        <f t="shared" si="5"/>
        <v>1.638596960817394</v>
      </c>
    </row>
    <row r="56" spans="1:11" ht="15.6" x14ac:dyDescent="0.3">
      <c r="A56" s="8">
        <v>6</v>
      </c>
      <c r="B56" s="1">
        <v>150</v>
      </c>
      <c r="C56" s="1">
        <v>20</v>
      </c>
      <c r="D56" s="1">
        <v>512.95680000000004</v>
      </c>
      <c r="E56" s="4">
        <v>3.0630000000000002</v>
      </c>
      <c r="G56" s="1">
        <f t="shared" si="1"/>
        <v>2.4494897427831779</v>
      </c>
      <c r="H56" s="1">
        <f t="shared" si="2"/>
        <v>12.24744871391589</v>
      </c>
      <c r="I56" s="1">
        <f t="shared" si="3"/>
        <v>4.4721359549995796</v>
      </c>
      <c r="J56" s="1">
        <f t="shared" si="4"/>
        <v>22.648549622437194</v>
      </c>
      <c r="K56" s="1">
        <f t="shared" si="5"/>
        <v>1.7501428513124293</v>
      </c>
    </row>
    <row r="57" spans="1:11" ht="15.6" x14ac:dyDescent="0.3">
      <c r="A57" s="8">
        <v>0</v>
      </c>
      <c r="B57" s="1">
        <v>150</v>
      </c>
      <c r="C57" s="1">
        <v>15</v>
      </c>
      <c r="D57" s="1">
        <v>390.44400000000002</v>
      </c>
      <c r="E57" s="4">
        <v>22.3</v>
      </c>
      <c r="G57" s="1">
        <f t="shared" si="1"/>
        <v>0</v>
      </c>
      <c r="H57" s="1">
        <f t="shared" si="2"/>
        <v>12.24744871391589</v>
      </c>
      <c r="I57" s="1">
        <f t="shared" si="3"/>
        <v>3.872983346207417</v>
      </c>
      <c r="J57" s="1">
        <f t="shared" si="4"/>
        <v>19.759655867448704</v>
      </c>
      <c r="K57" s="1">
        <f t="shared" si="5"/>
        <v>4.7222875812470377</v>
      </c>
    </row>
    <row r="58" spans="1:11" ht="15.6" x14ac:dyDescent="0.3">
      <c r="A58" s="8">
        <v>0</v>
      </c>
      <c r="B58" s="1">
        <v>200</v>
      </c>
      <c r="C58" s="1">
        <v>5</v>
      </c>
      <c r="D58" s="1">
        <v>253.51050000000001</v>
      </c>
      <c r="E58" s="4">
        <v>21.72</v>
      </c>
      <c r="G58" s="1">
        <f t="shared" si="1"/>
        <v>0</v>
      </c>
      <c r="H58" s="1">
        <f t="shared" si="2"/>
        <v>14.142135623730951</v>
      </c>
      <c r="I58" s="1">
        <f t="shared" si="3"/>
        <v>2.2360679774997898</v>
      </c>
      <c r="J58" s="1">
        <f t="shared" si="4"/>
        <v>15.922013063680108</v>
      </c>
      <c r="K58" s="1">
        <f t="shared" si="5"/>
        <v>4.6604720790924175</v>
      </c>
    </row>
    <row r="59" spans="1:11" ht="15.6" x14ac:dyDescent="0.3">
      <c r="A59" s="8">
        <v>0</v>
      </c>
      <c r="B59" s="1">
        <v>175</v>
      </c>
      <c r="C59" s="1">
        <v>5</v>
      </c>
      <c r="D59" s="1">
        <v>364.16140000000001</v>
      </c>
      <c r="E59" s="4">
        <v>24.5</v>
      </c>
      <c r="G59" s="1">
        <f t="shared" si="1"/>
        <v>0</v>
      </c>
      <c r="H59" s="1">
        <f t="shared" si="2"/>
        <v>13.228756555322953</v>
      </c>
      <c r="I59" s="1">
        <f t="shared" si="3"/>
        <v>2.2360679774997898</v>
      </c>
      <c r="J59" s="1">
        <f t="shared" si="4"/>
        <v>19.083013388875457</v>
      </c>
      <c r="K59" s="1">
        <f t="shared" si="5"/>
        <v>4.9497474683058327</v>
      </c>
    </row>
    <row r="60" spans="1:11" ht="15.6" x14ac:dyDescent="0.3">
      <c r="A60" s="8">
        <v>6</v>
      </c>
      <c r="B60" s="1">
        <v>150</v>
      </c>
      <c r="C60" s="1">
        <v>15</v>
      </c>
      <c r="D60" s="1">
        <v>508.92079999999999</v>
      </c>
      <c r="E60" s="4">
        <v>3.395</v>
      </c>
      <c r="G60" s="1">
        <f t="shared" si="1"/>
        <v>2.4494897427831779</v>
      </c>
      <c r="H60" s="1">
        <f t="shared" si="2"/>
        <v>12.24744871391589</v>
      </c>
      <c r="I60" s="1">
        <f t="shared" si="3"/>
        <v>3.872983346207417</v>
      </c>
      <c r="J60" s="1">
        <f t="shared" si="4"/>
        <v>22.559273037932758</v>
      </c>
      <c r="K60" s="1">
        <f t="shared" si="5"/>
        <v>1.8425525772688278</v>
      </c>
    </row>
    <row r="61" spans="1:11" ht="15.6" x14ac:dyDescent="0.3">
      <c r="A61" s="8">
        <v>0</v>
      </c>
      <c r="B61" s="1">
        <v>125</v>
      </c>
      <c r="C61" s="1">
        <v>25</v>
      </c>
      <c r="D61" s="1">
        <v>494.58980000000003</v>
      </c>
      <c r="E61" s="7">
        <v>19.75</v>
      </c>
      <c r="G61" s="1">
        <f t="shared" si="1"/>
        <v>0</v>
      </c>
      <c r="H61" s="1">
        <f t="shared" si="2"/>
        <v>11.180339887498949</v>
      </c>
      <c r="I61" s="1">
        <f t="shared" si="3"/>
        <v>5</v>
      </c>
      <c r="J61" s="1">
        <f t="shared" si="4"/>
        <v>22.239374991217716</v>
      </c>
      <c r="K61" s="1">
        <f t="shared" si="5"/>
        <v>4.4440972086577943</v>
      </c>
    </row>
    <row r="62" spans="1:11" x14ac:dyDescent="0.3">
      <c r="A62" s="8">
        <v>0</v>
      </c>
      <c r="B62" s="1">
        <v>175</v>
      </c>
      <c r="C62" s="1">
        <v>5</v>
      </c>
      <c r="D62" s="1">
        <v>248.6026</v>
      </c>
      <c r="E62" s="3">
        <v>20.89</v>
      </c>
      <c r="G62" s="1">
        <f t="shared" si="1"/>
        <v>0</v>
      </c>
      <c r="H62" s="1">
        <f t="shared" si="2"/>
        <v>13.228756555322953</v>
      </c>
      <c r="I62" s="1">
        <f t="shared" si="3"/>
        <v>2.2360679774997898</v>
      </c>
      <c r="J62" s="1">
        <f t="shared" si="4"/>
        <v>15.767136708990634</v>
      </c>
      <c r="K62" s="1">
        <f t="shared" si="5"/>
        <v>4.5705579528105753</v>
      </c>
    </row>
    <row r="63" spans="1:11" x14ac:dyDescent="0.3">
      <c r="A63" s="8">
        <v>3</v>
      </c>
      <c r="B63" s="1">
        <v>175</v>
      </c>
      <c r="C63" s="1">
        <v>5</v>
      </c>
      <c r="D63" s="1">
        <v>368.98289999999997</v>
      </c>
      <c r="E63" s="3">
        <v>8.2170000000000005</v>
      </c>
      <c r="G63" s="1">
        <f t="shared" si="1"/>
        <v>1.7320508075688772</v>
      </c>
      <c r="H63" s="1">
        <f t="shared" si="2"/>
        <v>13.228756555322953</v>
      </c>
      <c r="I63" s="1">
        <f t="shared" si="3"/>
        <v>2.2360679774997898</v>
      </c>
      <c r="J63" s="1">
        <f t="shared" si="4"/>
        <v>19.208927611920451</v>
      </c>
      <c r="K63" s="1">
        <f t="shared" si="5"/>
        <v>2.8665310045419012</v>
      </c>
    </row>
    <row r="64" spans="1:11" x14ac:dyDescent="0.3">
      <c r="A64" s="8">
        <v>3</v>
      </c>
      <c r="B64" s="1">
        <v>175</v>
      </c>
      <c r="C64" s="1">
        <v>20</v>
      </c>
      <c r="D64" s="1">
        <v>244.619</v>
      </c>
      <c r="E64" s="3">
        <v>5.25</v>
      </c>
      <c r="G64" s="1">
        <f t="shared" si="1"/>
        <v>1.7320508075688772</v>
      </c>
      <c r="H64" s="1">
        <f t="shared" si="2"/>
        <v>13.228756555322953</v>
      </c>
      <c r="I64" s="1">
        <f t="shared" si="3"/>
        <v>4.4721359549995796</v>
      </c>
      <c r="J64" s="1">
        <f t="shared" si="4"/>
        <v>15.64030050862195</v>
      </c>
      <c r="K64" s="1">
        <f t="shared" si="5"/>
        <v>2.2912878474779199</v>
      </c>
    </row>
    <row r="65" spans="1:11" x14ac:dyDescent="0.3">
      <c r="A65" s="8">
        <v>0</v>
      </c>
      <c r="B65" s="1">
        <v>125</v>
      </c>
      <c r="C65" s="1">
        <v>5</v>
      </c>
      <c r="D65" s="1">
        <v>240.76779999999999</v>
      </c>
      <c r="E65" s="3">
        <v>18.850000000000001</v>
      </c>
      <c r="G65" s="1">
        <f t="shared" si="1"/>
        <v>0</v>
      </c>
      <c r="H65" s="1">
        <f t="shared" si="2"/>
        <v>11.180339887498949</v>
      </c>
      <c r="I65" s="1">
        <f t="shared" si="3"/>
        <v>2.2360679774997898</v>
      </c>
      <c r="J65" s="1">
        <f t="shared" si="4"/>
        <v>15.516694235564481</v>
      </c>
      <c r="K65" s="1">
        <f t="shared" si="5"/>
        <v>4.3416586692184822</v>
      </c>
    </row>
    <row r="66" spans="1:11" x14ac:dyDescent="0.3">
      <c r="A66" s="8">
        <v>3</v>
      </c>
      <c r="B66" s="1">
        <v>150</v>
      </c>
      <c r="C66" s="1">
        <v>5</v>
      </c>
      <c r="D66" s="1">
        <v>246.9939</v>
      </c>
      <c r="E66" s="3">
        <v>6.9</v>
      </c>
      <c r="G66" s="1">
        <f t="shared" si="1"/>
        <v>1.7320508075688772</v>
      </c>
      <c r="H66" s="1">
        <f t="shared" si="2"/>
        <v>12.24744871391589</v>
      </c>
      <c r="I66" s="1">
        <f t="shared" si="3"/>
        <v>2.2360679774997898</v>
      </c>
      <c r="J66" s="1">
        <f t="shared" si="4"/>
        <v>15.716039577450802</v>
      </c>
      <c r="K66" s="1">
        <f t="shared" si="5"/>
        <v>2.6267851073127395</v>
      </c>
    </row>
    <row r="67" spans="1:11" x14ac:dyDescent="0.3">
      <c r="A67" s="8">
        <v>6</v>
      </c>
      <c r="B67" s="1">
        <v>150</v>
      </c>
      <c r="C67" s="1">
        <v>5</v>
      </c>
      <c r="D67" s="1">
        <v>242.8186</v>
      </c>
      <c r="E67" s="3">
        <v>3.6</v>
      </c>
      <c r="G67" s="1">
        <f t="shared" ref="G67:G130" si="6">SQRT(A67)</f>
        <v>2.4494897427831779</v>
      </c>
      <c r="H67" s="1">
        <f t="shared" ref="H67:H130" si="7">SQRT(B67)</f>
        <v>12.24744871391589</v>
      </c>
      <c r="I67" s="1">
        <f t="shared" ref="I67:I130" si="8">SQRT(C67)</f>
        <v>2.2360679774997898</v>
      </c>
      <c r="J67" s="1">
        <f t="shared" ref="J67:J130" si="9">SQRT(D67)</f>
        <v>15.582637774138242</v>
      </c>
      <c r="K67" s="1">
        <f t="shared" ref="K67:K130" si="10">SQRT(E67)</f>
        <v>1.8973665961010275</v>
      </c>
    </row>
    <row r="68" spans="1:11" x14ac:dyDescent="0.3">
      <c r="A68" s="8">
        <v>0</v>
      </c>
      <c r="B68" s="1">
        <v>150</v>
      </c>
      <c r="C68" s="1">
        <v>20</v>
      </c>
      <c r="D68" s="1">
        <v>360.24270000000001</v>
      </c>
      <c r="E68" s="3">
        <v>20.5</v>
      </c>
      <c r="G68" s="1">
        <f t="shared" si="6"/>
        <v>0</v>
      </c>
      <c r="H68" s="1">
        <f t="shared" si="7"/>
        <v>12.24744871391589</v>
      </c>
      <c r="I68" s="1">
        <f t="shared" si="8"/>
        <v>4.4721359549995796</v>
      </c>
      <c r="J68" s="1">
        <f t="shared" si="9"/>
        <v>18.980060589998125</v>
      </c>
      <c r="K68" s="1">
        <f t="shared" si="10"/>
        <v>4.5276925690687087</v>
      </c>
    </row>
    <row r="69" spans="1:11" x14ac:dyDescent="0.3">
      <c r="A69" s="8">
        <v>6</v>
      </c>
      <c r="B69" s="1">
        <v>150</v>
      </c>
      <c r="C69" s="1">
        <v>25</v>
      </c>
      <c r="D69" s="1">
        <v>509.33789999999999</v>
      </c>
      <c r="E69" s="3">
        <v>2.92</v>
      </c>
      <c r="G69" s="1">
        <f t="shared" si="6"/>
        <v>2.4494897427831779</v>
      </c>
      <c r="H69" s="1">
        <f t="shared" si="7"/>
        <v>12.24744871391589</v>
      </c>
      <c r="I69" s="1">
        <f t="shared" si="8"/>
        <v>5</v>
      </c>
      <c r="J69" s="1">
        <f t="shared" si="9"/>
        <v>22.568515680035318</v>
      </c>
      <c r="K69" s="1">
        <f t="shared" si="10"/>
        <v>1.7088007490635062</v>
      </c>
    </row>
    <row r="70" spans="1:11" x14ac:dyDescent="0.3">
      <c r="A70" s="8">
        <v>6</v>
      </c>
      <c r="B70" s="1">
        <v>175</v>
      </c>
      <c r="C70" s="1">
        <v>20</v>
      </c>
      <c r="D70" s="1">
        <v>511.05360000000002</v>
      </c>
      <c r="E70" s="3">
        <v>3.3330000000000002</v>
      </c>
      <c r="G70" s="1">
        <f t="shared" si="6"/>
        <v>2.4494897427831779</v>
      </c>
      <c r="H70" s="1">
        <f t="shared" si="7"/>
        <v>13.228756555322953</v>
      </c>
      <c r="I70" s="1">
        <f t="shared" si="8"/>
        <v>4.4721359549995796</v>
      </c>
      <c r="J70" s="1">
        <f t="shared" si="9"/>
        <v>22.606494642027101</v>
      </c>
      <c r="K70" s="1">
        <f t="shared" si="10"/>
        <v>1.8256505689753448</v>
      </c>
    </row>
    <row r="71" spans="1:11" x14ac:dyDescent="0.3">
      <c r="A71" s="8">
        <v>6</v>
      </c>
      <c r="B71" s="1">
        <v>200</v>
      </c>
      <c r="C71" s="1">
        <v>15</v>
      </c>
      <c r="D71" s="1">
        <v>515.38070000000005</v>
      </c>
      <c r="E71" s="3">
        <v>3.823</v>
      </c>
      <c r="G71" s="1">
        <f t="shared" si="6"/>
        <v>2.4494897427831779</v>
      </c>
      <c r="H71" s="1">
        <f t="shared" si="7"/>
        <v>14.142135623730951</v>
      </c>
      <c r="I71" s="1">
        <f t="shared" si="8"/>
        <v>3.872983346207417</v>
      </c>
      <c r="J71" s="1">
        <f t="shared" si="9"/>
        <v>22.701997709452797</v>
      </c>
      <c r="K71" s="1">
        <f t="shared" si="10"/>
        <v>1.9552493447128425</v>
      </c>
    </row>
    <row r="72" spans="1:11" x14ac:dyDescent="0.3">
      <c r="A72" s="8">
        <v>0</v>
      </c>
      <c r="B72" s="1">
        <v>100</v>
      </c>
      <c r="C72" s="1">
        <v>20</v>
      </c>
      <c r="D72" s="1">
        <v>242.10650000000001</v>
      </c>
      <c r="E72" s="3">
        <v>15.25</v>
      </c>
      <c r="G72" s="1">
        <f t="shared" si="6"/>
        <v>0</v>
      </c>
      <c r="H72" s="1">
        <f t="shared" si="7"/>
        <v>10</v>
      </c>
      <c r="I72" s="1">
        <f t="shared" si="8"/>
        <v>4.4721359549995796</v>
      </c>
      <c r="J72" s="1">
        <f t="shared" si="9"/>
        <v>15.559771849227097</v>
      </c>
      <c r="K72" s="1">
        <f t="shared" si="10"/>
        <v>3.905124837953327</v>
      </c>
    </row>
    <row r="73" spans="1:11" x14ac:dyDescent="0.3">
      <c r="A73" s="8">
        <v>0</v>
      </c>
      <c r="B73" s="1">
        <v>150</v>
      </c>
      <c r="C73" s="1">
        <v>15</v>
      </c>
      <c r="D73" s="1">
        <v>252.89060000000001</v>
      </c>
      <c r="E73" s="3">
        <v>19.18</v>
      </c>
      <c r="G73" s="1">
        <f t="shared" si="6"/>
        <v>0</v>
      </c>
      <c r="H73" s="1">
        <f t="shared" si="7"/>
        <v>12.24744871391589</v>
      </c>
      <c r="I73" s="1">
        <f t="shared" si="8"/>
        <v>3.872983346207417</v>
      </c>
      <c r="J73" s="1">
        <f t="shared" si="9"/>
        <v>15.902534389209791</v>
      </c>
      <c r="K73" s="1">
        <f t="shared" si="10"/>
        <v>4.3794976880916376</v>
      </c>
    </row>
    <row r="74" spans="1:11" x14ac:dyDescent="0.3">
      <c r="A74" s="8">
        <v>6</v>
      </c>
      <c r="B74" s="1">
        <v>100</v>
      </c>
      <c r="C74" s="1">
        <v>15</v>
      </c>
      <c r="D74" s="1">
        <v>363.14190000000002</v>
      </c>
      <c r="E74" s="3">
        <v>2.1</v>
      </c>
      <c r="G74" s="1">
        <f t="shared" si="6"/>
        <v>2.4494897427831779</v>
      </c>
      <c r="H74" s="1">
        <f t="shared" si="7"/>
        <v>10</v>
      </c>
      <c r="I74" s="1">
        <f t="shared" si="8"/>
        <v>3.872983346207417</v>
      </c>
      <c r="J74" s="1">
        <f t="shared" si="9"/>
        <v>19.056282428637545</v>
      </c>
      <c r="K74" s="1">
        <f t="shared" si="10"/>
        <v>1.4491376746189439</v>
      </c>
    </row>
    <row r="75" spans="1:11" x14ac:dyDescent="0.3">
      <c r="A75" s="8">
        <v>3</v>
      </c>
      <c r="B75" s="1">
        <v>100</v>
      </c>
      <c r="C75" s="1">
        <v>10</v>
      </c>
      <c r="D75" s="1">
        <v>502.48770000000002</v>
      </c>
      <c r="E75" s="3">
        <v>6.5090000000000003</v>
      </c>
      <c r="G75" s="1">
        <f t="shared" si="6"/>
        <v>1.7320508075688772</v>
      </c>
      <c r="H75" s="1">
        <f t="shared" si="7"/>
        <v>10</v>
      </c>
      <c r="I75" s="1">
        <f t="shared" si="8"/>
        <v>3.1622776601683795</v>
      </c>
      <c r="J75" s="1">
        <f t="shared" si="9"/>
        <v>22.416237418442908</v>
      </c>
      <c r="K75" s="1">
        <f t="shared" si="10"/>
        <v>2.5512741914580643</v>
      </c>
    </row>
    <row r="76" spans="1:11" x14ac:dyDescent="0.3">
      <c r="A76" s="8">
        <v>0</v>
      </c>
      <c r="B76" s="1">
        <v>100</v>
      </c>
      <c r="C76" s="1">
        <v>10</v>
      </c>
      <c r="D76" s="1">
        <v>515.93719999999996</v>
      </c>
      <c r="E76" s="3">
        <v>22.5</v>
      </c>
      <c r="G76" s="1">
        <f t="shared" si="6"/>
        <v>0</v>
      </c>
      <c r="H76" s="1">
        <f t="shared" si="7"/>
        <v>10</v>
      </c>
      <c r="I76" s="1">
        <f t="shared" si="8"/>
        <v>3.1622776601683795</v>
      </c>
      <c r="J76" s="1">
        <f t="shared" si="9"/>
        <v>22.71425103321701</v>
      </c>
      <c r="K76" s="1">
        <f t="shared" si="10"/>
        <v>4.7434164902525691</v>
      </c>
    </row>
    <row r="77" spans="1:11" x14ac:dyDescent="0.3">
      <c r="A77" s="8">
        <v>0</v>
      </c>
      <c r="B77" s="1">
        <v>200</v>
      </c>
      <c r="C77" s="1">
        <v>10</v>
      </c>
      <c r="D77" s="8">
        <v>247.96969999999999</v>
      </c>
      <c r="E77" s="1">
        <v>21.279</v>
      </c>
      <c r="G77" s="1">
        <f t="shared" si="6"/>
        <v>0</v>
      </c>
      <c r="H77" s="1">
        <f t="shared" si="7"/>
        <v>14.142135623730951</v>
      </c>
      <c r="I77" s="1">
        <f t="shared" si="8"/>
        <v>3.1622776601683795</v>
      </c>
      <c r="J77" s="1">
        <f t="shared" si="9"/>
        <v>15.747053692675337</v>
      </c>
      <c r="K77" s="1">
        <f t="shared" si="10"/>
        <v>4.612916647848734</v>
      </c>
    </row>
    <row r="78" spans="1:11" x14ac:dyDescent="0.3">
      <c r="A78" s="8">
        <v>3</v>
      </c>
      <c r="B78" s="1">
        <v>150</v>
      </c>
      <c r="C78" s="1">
        <v>20</v>
      </c>
      <c r="D78" s="8">
        <v>241.89109999999999</v>
      </c>
      <c r="E78" s="1">
        <v>5</v>
      </c>
      <c r="G78" s="1">
        <f t="shared" si="6"/>
        <v>1.7320508075688772</v>
      </c>
      <c r="H78" s="1">
        <f t="shared" si="7"/>
        <v>12.24744871391589</v>
      </c>
      <c r="I78" s="1">
        <f t="shared" si="8"/>
        <v>4.4721359549995796</v>
      </c>
      <c r="J78" s="1">
        <f t="shared" si="9"/>
        <v>15.55284861367846</v>
      </c>
      <c r="K78" s="1">
        <f t="shared" si="10"/>
        <v>2.2360679774997898</v>
      </c>
    </row>
    <row r="79" spans="1:11" x14ac:dyDescent="0.3">
      <c r="A79" s="8">
        <v>0</v>
      </c>
      <c r="B79" s="1">
        <v>200</v>
      </c>
      <c r="C79" s="1">
        <v>25</v>
      </c>
      <c r="D79" s="8">
        <v>240.44800000000001</v>
      </c>
      <c r="E79" s="1">
        <v>18.850000000000001</v>
      </c>
      <c r="G79" s="1">
        <f t="shared" si="6"/>
        <v>0</v>
      </c>
      <c r="H79" s="1">
        <f t="shared" si="7"/>
        <v>14.142135623730951</v>
      </c>
      <c r="I79" s="1">
        <f t="shared" si="8"/>
        <v>5</v>
      </c>
      <c r="J79" s="1">
        <f t="shared" si="9"/>
        <v>15.506385781348277</v>
      </c>
      <c r="K79" s="1">
        <f t="shared" si="10"/>
        <v>4.3416586692184822</v>
      </c>
    </row>
    <row r="80" spans="1:11" x14ac:dyDescent="0.3">
      <c r="A80" s="8">
        <v>0</v>
      </c>
      <c r="B80" s="1">
        <v>125</v>
      </c>
      <c r="C80" s="1">
        <v>25</v>
      </c>
      <c r="D80" s="8">
        <v>352.35399999999998</v>
      </c>
      <c r="E80" s="1">
        <v>17.850000000000001</v>
      </c>
      <c r="G80" s="1">
        <f t="shared" si="6"/>
        <v>0</v>
      </c>
      <c r="H80" s="1">
        <f t="shared" si="7"/>
        <v>11.180339887498949</v>
      </c>
      <c r="I80" s="1">
        <f t="shared" si="8"/>
        <v>5</v>
      </c>
      <c r="J80" s="1">
        <f t="shared" si="9"/>
        <v>18.771094800250729</v>
      </c>
      <c r="K80" s="1">
        <f t="shared" si="10"/>
        <v>4.224926034855522</v>
      </c>
    </row>
    <row r="81" spans="1:11" x14ac:dyDescent="0.3">
      <c r="A81" s="8">
        <v>3</v>
      </c>
      <c r="B81" s="1">
        <v>150</v>
      </c>
      <c r="C81" s="1">
        <v>10</v>
      </c>
      <c r="D81" s="8">
        <v>381.6739</v>
      </c>
      <c r="E81" s="1">
        <v>6.65</v>
      </c>
      <c r="G81" s="1">
        <f t="shared" si="6"/>
        <v>1.7320508075688772</v>
      </c>
      <c r="H81" s="1">
        <f t="shared" si="7"/>
        <v>12.24744871391589</v>
      </c>
      <c r="I81" s="1">
        <f t="shared" si="8"/>
        <v>3.1622776601683795</v>
      </c>
      <c r="J81" s="1">
        <f t="shared" si="9"/>
        <v>19.536476140798779</v>
      </c>
      <c r="K81" s="1">
        <f t="shared" si="10"/>
        <v>2.5787593916455256</v>
      </c>
    </row>
    <row r="82" spans="1:11" x14ac:dyDescent="0.3">
      <c r="A82" s="8">
        <v>0</v>
      </c>
      <c r="B82" s="1">
        <v>100</v>
      </c>
      <c r="C82" s="1">
        <v>25</v>
      </c>
      <c r="D82" s="8">
        <v>367.53050000000002</v>
      </c>
      <c r="E82" s="1">
        <v>16.052</v>
      </c>
      <c r="G82" s="1">
        <f t="shared" si="6"/>
        <v>0</v>
      </c>
      <c r="H82" s="1">
        <f t="shared" si="7"/>
        <v>10</v>
      </c>
      <c r="I82" s="1">
        <f t="shared" si="8"/>
        <v>5</v>
      </c>
      <c r="J82" s="1">
        <f t="shared" si="9"/>
        <v>19.171084997985901</v>
      </c>
      <c r="K82" s="1">
        <f t="shared" si="10"/>
        <v>4.0064947273146387</v>
      </c>
    </row>
    <row r="83" spans="1:11" x14ac:dyDescent="0.3">
      <c r="A83" s="8">
        <v>3</v>
      </c>
      <c r="B83" s="1">
        <v>150</v>
      </c>
      <c r="C83" s="1">
        <v>25</v>
      </c>
      <c r="D83" s="8">
        <v>509.47919999999999</v>
      </c>
      <c r="E83" s="1">
        <v>6.2</v>
      </c>
      <c r="G83" s="1">
        <f t="shared" si="6"/>
        <v>1.7320508075688772</v>
      </c>
      <c r="H83" s="1">
        <f t="shared" si="7"/>
        <v>12.24744871391589</v>
      </c>
      <c r="I83" s="1">
        <f t="shared" si="8"/>
        <v>5</v>
      </c>
      <c r="J83" s="1">
        <f t="shared" si="9"/>
        <v>22.571645930237342</v>
      </c>
      <c r="K83" s="1">
        <f t="shared" si="10"/>
        <v>2.4899799195977463</v>
      </c>
    </row>
    <row r="84" spans="1:11" x14ac:dyDescent="0.3">
      <c r="A84" s="8">
        <v>3</v>
      </c>
      <c r="B84" s="1">
        <v>200</v>
      </c>
      <c r="C84" s="1">
        <v>5</v>
      </c>
      <c r="D84" s="8">
        <v>366.85899999999998</v>
      </c>
      <c r="E84" s="1">
        <v>8.4499999999999993</v>
      </c>
      <c r="G84" s="1">
        <f t="shared" si="6"/>
        <v>1.7320508075688772</v>
      </c>
      <c r="H84" s="1">
        <f t="shared" si="7"/>
        <v>14.142135623730951</v>
      </c>
      <c r="I84" s="1">
        <f t="shared" si="8"/>
        <v>2.2360679774997898</v>
      </c>
      <c r="J84" s="1">
        <f t="shared" si="9"/>
        <v>19.153563637088528</v>
      </c>
      <c r="K84" s="1">
        <f t="shared" si="10"/>
        <v>2.9068883707497264</v>
      </c>
    </row>
    <row r="85" spans="1:11" x14ac:dyDescent="0.3">
      <c r="A85" s="8">
        <v>3</v>
      </c>
      <c r="B85" s="1">
        <v>125</v>
      </c>
      <c r="C85" s="1">
        <v>25</v>
      </c>
      <c r="D85" s="8">
        <v>371.36880000000002</v>
      </c>
      <c r="E85" s="1">
        <v>5.4</v>
      </c>
      <c r="G85" s="1">
        <f t="shared" si="6"/>
        <v>1.7320508075688772</v>
      </c>
      <c r="H85" s="1">
        <f t="shared" si="7"/>
        <v>11.180339887498949</v>
      </c>
      <c r="I85" s="1">
        <f t="shared" si="8"/>
        <v>5</v>
      </c>
      <c r="J85" s="1">
        <f t="shared" si="9"/>
        <v>19.27093147722756</v>
      </c>
      <c r="K85" s="1">
        <f t="shared" si="10"/>
        <v>2.3237900077244502</v>
      </c>
    </row>
    <row r="86" spans="1:11" x14ac:dyDescent="0.3">
      <c r="A86" s="8">
        <v>0</v>
      </c>
      <c r="B86" s="1">
        <v>150</v>
      </c>
      <c r="C86" s="1">
        <v>20</v>
      </c>
      <c r="D86" s="8">
        <v>491.38350000000003</v>
      </c>
      <c r="E86" s="1">
        <v>22.75</v>
      </c>
      <c r="G86" s="1">
        <f t="shared" si="6"/>
        <v>0</v>
      </c>
      <c r="H86" s="1">
        <f t="shared" si="7"/>
        <v>12.24744871391589</v>
      </c>
      <c r="I86" s="1">
        <f t="shared" si="8"/>
        <v>4.4721359549995796</v>
      </c>
      <c r="J86" s="1">
        <f t="shared" si="9"/>
        <v>22.167171673445399</v>
      </c>
      <c r="K86" s="1">
        <f t="shared" si="10"/>
        <v>4.7696960070847281</v>
      </c>
    </row>
    <row r="87" spans="1:11" x14ac:dyDescent="0.3">
      <c r="A87" s="8">
        <v>0</v>
      </c>
      <c r="B87" s="1">
        <v>175</v>
      </c>
      <c r="C87" s="1">
        <v>10</v>
      </c>
      <c r="D87" s="8">
        <v>508.42700000000002</v>
      </c>
      <c r="E87" s="1">
        <v>26.786000000000001</v>
      </c>
      <c r="G87" s="1">
        <f t="shared" si="6"/>
        <v>0</v>
      </c>
      <c r="H87" s="1">
        <f t="shared" si="7"/>
        <v>13.228756555322953</v>
      </c>
      <c r="I87" s="1">
        <f t="shared" si="8"/>
        <v>3.1622776601683795</v>
      </c>
      <c r="J87" s="1">
        <f t="shared" si="9"/>
        <v>22.548325880206718</v>
      </c>
      <c r="K87" s="1">
        <f t="shared" si="10"/>
        <v>5.1755192976164235</v>
      </c>
    </row>
    <row r="88" spans="1:11" x14ac:dyDescent="0.3">
      <c r="A88" s="8">
        <v>3</v>
      </c>
      <c r="B88" s="1">
        <v>200</v>
      </c>
      <c r="C88" s="1">
        <v>10</v>
      </c>
      <c r="D88" s="8">
        <v>380.22660000000002</v>
      </c>
      <c r="E88" s="1">
        <v>7.1</v>
      </c>
      <c r="G88" s="1">
        <f t="shared" si="6"/>
        <v>1.7320508075688772</v>
      </c>
      <c r="H88" s="1">
        <f t="shared" si="7"/>
        <v>14.142135623730951</v>
      </c>
      <c r="I88" s="1">
        <f t="shared" si="8"/>
        <v>3.1622776601683795</v>
      </c>
      <c r="J88" s="1">
        <f t="shared" si="9"/>
        <v>19.499399990768946</v>
      </c>
      <c r="K88" s="1">
        <f t="shared" si="10"/>
        <v>2.6645825188948455</v>
      </c>
    </row>
    <row r="89" spans="1:11" x14ac:dyDescent="0.3">
      <c r="A89" s="8">
        <v>3</v>
      </c>
      <c r="B89" s="1">
        <v>100</v>
      </c>
      <c r="C89" s="1">
        <v>20</v>
      </c>
      <c r="D89" s="8">
        <v>239.24440000000001</v>
      </c>
      <c r="E89" s="1">
        <v>4.5</v>
      </c>
      <c r="G89" s="1">
        <f t="shared" si="6"/>
        <v>1.7320508075688772</v>
      </c>
      <c r="H89" s="1">
        <f t="shared" si="7"/>
        <v>10</v>
      </c>
      <c r="I89" s="1">
        <f t="shared" si="8"/>
        <v>4.4721359549995796</v>
      </c>
      <c r="J89" s="1">
        <f t="shared" si="9"/>
        <v>15.46752727490726</v>
      </c>
      <c r="K89" s="1">
        <f t="shared" si="10"/>
        <v>2.1213203435596424</v>
      </c>
    </row>
    <row r="90" spans="1:11" x14ac:dyDescent="0.3">
      <c r="A90" s="8">
        <v>3</v>
      </c>
      <c r="B90" s="1">
        <v>125</v>
      </c>
      <c r="C90" s="1">
        <v>25</v>
      </c>
      <c r="D90" s="8">
        <v>250.46289999999999</v>
      </c>
      <c r="E90" s="1">
        <v>4.75</v>
      </c>
      <c r="G90" s="1">
        <f t="shared" si="6"/>
        <v>1.7320508075688772</v>
      </c>
      <c r="H90" s="1">
        <f t="shared" si="7"/>
        <v>11.180339887498949</v>
      </c>
      <c r="I90" s="1">
        <f t="shared" si="8"/>
        <v>5</v>
      </c>
      <c r="J90" s="1">
        <f t="shared" si="9"/>
        <v>15.826019714381756</v>
      </c>
      <c r="K90" s="1">
        <f t="shared" si="10"/>
        <v>2.179449471770337</v>
      </c>
    </row>
    <row r="91" spans="1:11" x14ac:dyDescent="0.3">
      <c r="A91" s="8">
        <v>3</v>
      </c>
      <c r="B91" s="1">
        <v>150</v>
      </c>
      <c r="C91" s="1">
        <v>5</v>
      </c>
      <c r="D91" s="8">
        <v>507.88229999999999</v>
      </c>
      <c r="E91" s="1">
        <v>8.85</v>
      </c>
      <c r="G91" s="1">
        <f t="shared" si="6"/>
        <v>1.7320508075688772</v>
      </c>
      <c r="H91" s="1">
        <f t="shared" si="7"/>
        <v>12.24744871391589</v>
      </c>
      <c r="I91" s="1">
        <f t="shared" si="8"/>
        <v>2.2360679774997898</v>
      </c>
      <c r="J91" s="1">
        <f t="shared" si="9"/>
        <v>22.536244141382564</v>
      </c>
      <c r="K91" s="1">
        <f t="shared" si="10"/>
        <v>2.9748949561287032</v>
      </c>
    </row>
    <row r="92" spans="1:11" x14ac:dyDescent="0.3">
      <c r="A92" s="8">
        <v>0</v>
      </c>
      <c r="B92" s="1">
        <v>100</v>
      </c>
      <c r="C92" s="1">
        <v>5</v>
      </c>
      <c r="D92" s="8">
        <v>507.22219999999999</v>
      </c>
      <c r="E92" s="1">
        <v>23.1</v>
      </c>
      <c r="G92" s="1">
        <f t="shared" si="6"/>
        <v>0</v>
      </c>
      <c r="H92" s="1">
        <f t="shared" si="7"/>
        <v>10</v>
      </c>
      <c r="I92" s="1">
        <f t="shared" si="8"/>
        <v>2.2360679774997898</v>
      </c>
      <c r="J92" s="1">
        <f t="shared" si="9"/>
        <v>22.521594082124825</v>
      </c>
      <c r="K92" s="1">
        <f t="shared" si="10"/>
        <v>4.8062459362791667</v>
      </c>
    </row>
    <row r="93" spans="1:11" x14ac:dyDescent="0.3">
      <c r="A93" s="8">
        <v>6</v>
      </c>
      <c r="B93" s="1">
        <v>150</v>
      </c>
      <c r="C93" s="1">
        <v>10</v>
      </c>
      <c r="D93" s="8">
        <v>377.04219999999998</v>
      </c>
      <c r="E93" s="1">
        <v>3.3279999999999998</v>
      </c>
      <c r="G93" s="1">
        <f t="shared" si="6"/>
        <v>2.4494897427831779</v>
      </c>
      <c r="H93" s="1">
        <f t="shared" si="7"/>
        <v>12.24744871391589</v>
      </c>
      <c r="I93" s="1">
        <f t="shared" si="8"/>
        <v>3.1622776601683795</v>
      </c>
      <c r="J93" s="1">
        <f t="shared" si="9"/>
        <v>19.417574513826384</v>
      </c>
      <c r="K93" s="1">
        <f t="shared" si="10"/>
        <v>1.8242806801586207</v>
      </c>
    </row>
    <row r="94" spans="1:11" x14ac:dyDescent="0.3">
      <c r="A94" s="8">
        <v>3</v>
      </c>
      <c r="B94" s="1">
        <v>125</v>
      </c>
      <c r="C94" s="1">
        <v>5</v>
      </c>
      <c r="D94" s="8">
        <v>370.18709999999999</v>
      </c>
      <c r="E94" s="1">
        <v>7.6520000000000001</v>
      </c>
      <c r="G94" s="1">
        <f t="shared" si="6"/>
        <v>1.7320508075688772</v>
      </c>
      <c r="H94" s="1">
        <f t="shared" si="7"/>
        <v>11.180339887498949</v>
      </c>
      <c r="I94" s="1">
        <f t="shared" si="8"/>
        <v>2.2360679774997898</v>
      </c>
      <c r="J94" s="1">
        <f t="shared" si="9"/>
        <v>19.240246879912949</v>
      </c>
      <c r="K94" s="1">
        <f t="shared" si="10"/>
        <v>2.7662248643232168</v>
      </c>
    </row>
    <row r="95" spans="1:11" x14ac:dyDescent="0.3">
      <c r="A95" s="8">
        <v>3</v>
      </c>
      <c r="B95" s="1">
        <v>200</v>
      </c>
      <c r="C95" s="1">
        <v>15</v>
      </c>
      <c r="D95" s="8">
        <v>252.28370000000001</v>
      </c>
      <c r="E95" s="1">
        <v>5.6</v>
      </c>
      <c r="G95" s="1">
        <f t="shared" si="6"/>
        <v>1.7320508075688772</v>
      </c>
      <c r="H95" s="1">
        <f t="shared" si="7"/>
        <v>14.142135623730951</v>
      </c>
      <c r="I95" s="1">
        <f t="shared" si="8"/>
        <v>3.872983346207417</v>
      </c>
      <c r="J95" s="1">
        <f t="shared" si="9"/>
        <v>15.883441062943508</v>
      </c>
      <c r="K95" s="1">
        <f t="shared" si="10"/>
        <v>2.3664319132398464</v>
      </c>
    </row>
    <row r="96" spans="1:11" x14ac:dyDescent="0.3">
      <c r="A96" s="8">
        <v>3</v>
      </c>
      <c r="B96" s="1">
        <v>125</v>
      </c>
      <c r="C96" s="1">
        <v>20</v>
      </c>
      <c r="D96" s="8">
        <v>506.11959999999999</v>
      </c>
      <c r="E96" s="1">
        <v>6.1180000000000003</v>
      </c>
      <c r="G96" s="1">
        <f t="shared" si="6"/>
        <v>1.7320508075688772</v>
      </c>
      <c r="H96" s="1">
        <f t="shared" si="7"/>
        <v>11.180339887498949</v>
      </c>
      <c r="I96" s="1">
        <f t="shared" si="8"/>
        <v>4.4721359549995796</v>
      </c>
      <c r="J96" s="1">
        <f t="shared" si="9"/>
        <v>22.497102035595606</v>
      </c>
      <c r="K96" s="1">
        <f t="shared" si="10"/>
        <v>2.4734591162984683</v>
      </c>
    </row>
    <row r="97" spans="1:11" x14ac:dyDescent="0.3">
      <c r="A97" s="8">
        <v>6</v>
      </c>
      <c r="B97" s="1">
        <v>100</v>
      </c>
      <c r="C97" s="1">
        <v>10</v>
      </c>
      <c r="D97" s="8">
        <v>250.60400000000001</v>
      </c>
      <c r="E97" s="1">
        <v>1.79</v>
      </c>
      <c r="G97" s="1">
        <f t="shared" si="6"/>
        <v>2.4494897427831779</v>
      </c>
      <c r="H97" s="1">
        <f t="shared" si="7"/>
        <v>10</v>
      </c>
      <c r="I97" s="1">
        <f t="shared" si="8"/>
        <v>3.1622776601683795</v>
      </c>
      <c r="J97" s="1">
        <f t="shared" si="9"/>
        <v>15.830476935329523</v>
      </c>
      <c r="K97" s="1">
        <f t="shared" si="10"/>
        <v>1.3379088160259651</v>
      </c>
    </row>
    <row r="98" spans="1:11" x14ac:dyDescent="0.3">
      <c r="A98" s="8">
        <v>0</v>
      </c>
      <c r="B98" s="1">
        <v>175</v>
      </c>
      <c r="C98" s="1">
        <v>10</v>
      </c>
      <c r="D98" s="8">
        <v>247.17240000000001</v>
      </c>
      <c r="E98" s="1">
        <v>20.37</v>
      </c>
      <c r="G98" s="1">
        <f t="shared" si="6"/>
        <v>0</v>
      </c>
      <c r="H98" s="1">
        <f t="shared" si="7"/>
        <v>13.228756555322953</v>
      </c>
      <c r="I98" s="1">
        <f t="shared" si="8"/>
        <v>3.1622776601683795</v>
      </c>
      <c r="J98" s="1">
        <f t="shared" si="9"/>
        <v>15.721717463432549</v>
      </c>
      <c r="K98" s="1">
        <f t="shared" si="10"/>
        <v>4.5133136385587029</v>
      </c>
    </row>
    <row r="99" spans="1:11" x14ac:dyDescent="0.3">
      <c r="A99" s="8">
        <v>0</v>
      </c>
      <c r="B99" s="1">
        <v>150</v>
      </c>
      <c r="C99" s="1">
        <v>10</v>
      </c>
      <c r="D99" s="8">
        <v>498.37939999999998</v>
      </c>
      <c r="E99" s="1">
        <v>25.324999999999999</v>
      </c>
      <c r="G99" s="1">
        <f t="shared" si="6"/>
        <v>0</v>
      </c>
      <c r="H99" s="1">
        <f t="shared" si="7"/>
        <v>12.24744871391589</v>
      </c>
      <c r="I99" s="1">
        <f t="shared" si="8"/>
        <v>3.1622776601683795</v>
      </c>
      <c r="J99" s="1">
        <f t="shared" si="9"/>
        <v>22.324412646248948</v>
      </c>
      <c r="K99" s="1">
        <f t="shared" si="10"/>
        <v>5.0323950560344528</v>
      </c>
    </row>
    <row r="100" spans="1:11" x14ac:dyDescent="0.3">
      <c r="A100" s="8">
        <v>0</v>
      </c>
      <c r="B100" s="1">
        <v>200</v>
      </c>
      <c r="C100" s="1">
        <v>5</v>
      </c>
      <c r="D100" s="8">
        <v>375.7987</v>
      </c>
      <c r="E100" s="1">
        <v>25.6</v>
      </c>
      <c r="G100" s="1">
        <f t="shared" si="6"/>
        <v>0</v>
      </c>
      <c r="H100" s="1">
        <f t="shared" si="7"/>
        <v>14.142135623730951</v>
      </c>
      <c r="I100" s="1">
        <f t="shared" si="8"/>
        <v>2.2360679774997898</v>
      </c>
      <c r="J100" s="1">
        <f t="shared" si="9"/>
        <v>19.3855281073279</v>
      </c>
      <c r="K100" s="1">
        <f t="shared" si="10"/>
        <v>5.0596442562694071</v>
      </c>
    </row>
    <row r="101" spans="1:11" x14ac:dyDescent="0.3">
      <c r="A101" s="8">
        <v>0</v>
      </c>
      <c r="B101" s="1">
        <v>100</v>
      </c>
      <c r="C101" s="1">
        <v>20</v>
      </c>
      <c r="D101" s="8">
        <v>508.59320000000002</v>
      </c>
      <c r="E101" s="1">
        <v>19.399999999999999</v>
      </c>
      <c r="G101" s="1">
        <f t="shared" si="6"/>
        <v>0</v>
      </c>
      <c r="H101" s="1">
        <f t="shared" si="7"/>
        <v>10</v>
      </c>
      <c r="I101" s="1">
        <f t="shared" si="8"/>
        <v>4.4721359549995796</v>
      </c>
      <c r="J101" s="1">
        <f t="shared" si="9"/>
        <v>22.552010996804697</v>
      </c>
      <c r="K101" s="1">
        <f t="shared" si="10"/>
        <v>4.4045431091090483</v>
      </c>
    </row>
    <row r="102" spans="1:11" x14ac:dyDescent="0.3">
      <c r="A102" s="8">
        <v>3</v>
      </c>
      <c r="B102" s="1">
        <v>200</v>
      </c>
      <c r="C102" s="1">
        <v>10</v>
      </c>
      <c r="D102" s="8">
        <v>508.48759999999999</v>
      </c>
      <c r="E102" s="1">
        <v>7.95</v>
      </c>
      <c r="G102" s="1">
        <f t="shared" si="6"/>
        <v>1.7320508075688772</v>
      </c>
      <c r="H102" s="1">
        <f t="shared" si="7"/>
        <v>14.142135623730951</v>
      </c>
      <c r="I102" s="1">
        <f t="shared" si="8"/>
        <v>3.1622776601683795</v>
      </c>
      <c r="J102" s="1">
        <f t="shared" si="9"/>
        <v>22.549669620639676</v>
      </c>
      <c r="K102" s="1">
        <f t="shared" si="10"/>
        <v>2.8195744359743369</v>
      </c>
    </row>
    <row r="103" spans="1:11" x14ac:dyDescent="0.3">
      <c r="A103" s="8">
        <v>3</v>
      </c>
      <c r="B103" s="1">
        <v>100</v>
      </c>
      <c r="C103" s="1">
        <v>20</v>
      </c>
      <c r="D103" s="8">
        <v>355.56560000000002</v>
      </c>
      <c r="E103" s="1">
        <v>5.125</v>
      </c>
      <c r="G103" s="1">
        <f t="shared" si="6"/>
        <v>1.7320508075688772</v>
      </c>
      <c r="H103" s="1">
        <f t="shared" si="7"/>
        <v>10</v>
      </c>
      <c r="I103" s="1">
        <f t="shared" si="8"/>
        <v>4.4721359549995796</v>
      </c>
      <c r="J103" s="1">
        <f t="shared" si="9"/>
        <v>18.856447173314489</v>
      </c>
      <c r="K103" s="1">
        <f t="shared" si="10"/>
        <v>2.2638462845343543</v>
      </c>
    </row>
    <row r="104" spans="1:11" x14ac:dyDescent="0.3">
      <c r="A104" s="8">
        <v>3</v>
      </c>
      <c r="B104" s="1">
        <v>175</v>
      </c>
      <c r="C104" s="1">
        <v>10</v>
      </c>
      <c r="D104" s="8">
        <v>508.73230000000001</v>
      </c>
      <c r="E104" s="1">
        <v>7.65</v>
      </c>
      <c r="G104" s="1">
        <f t="shared" si="6"/>
        <v>1.7320508075688772</v>
      </c>
      <c r="H104" s="1">
        <f t="shared" si="7"/>
        <v>13.228756555322953</v>
      </c>
      <c r="I104" s="1">
        <f t="shared" si="8"/>
        <v>3.1622776601683795</v>
      </c>
      <c r="J104" s="1">
        <f t="shared" si="9"/>
        <v>22.555094768144958</v>
      </c>
      <c r="K104" s="1">
        <f t="shared" si="10"/>
        <v>2.7658633371878665</v>
      </c>
    </row>
    <row r="105" spans="1:11" x14ac:dyDescent="0.3">
      <c r="A105" s="8">
        <v>3</v>
      </c>
      <c r="B105" s="1">
        <v>150</v>
      </c>
      <c r="C105" s="1">
        <v>25</v>
      </c>
      <c r="D105" s="8">
        <v>375.13720000000001</v>
      </c>
      <c r="E105" s="1">
        <v>5.694</v>
      </c>
      <c r="G105" s="1">
        <f t="shared" si="6"/>
        <v>1.7320508075688772</v>
      </c>
      <c r="H105" s="1">
        <f t="shared" si="7"/>
        <v>12.24744871391589</v>
      </c>
      <c r="I105" s="1">
        <f t="shared" si="8"/>
        <v>5</v>
      </c>
      <c r="J105" s="1">
        <f t="shared" si="9"/>
        <v>19.368458895844036</v>
      </c>
      <c r="K105" s="1">
        <f t="shared" si="10"/>
        <v>2.3862103846894978</v>
      </c>
    </row>
    <row r="106" spans="1:11" x14ac:dyDescent="0.3">
      <c r="A106" s="8">
        <v>6</v>
      </c>
      <c r="B106" s="1">
        <v>150</v>
      </c>
      <c r="C106" s="1">
        <v>15</v>
      </c>
      <c r="D106" s="8">
        <v>246.01759999999999</v>
      </c>
      <c r="E106" s="1">
        <v>2.0150000000000001</v>
      </c>
      <c r="G106" s="1">
        <f t="shared" si="6"/>
        <v>2.4494897427831779</v>
      </c>
      <c r="H106" s="1">
        <f t="shared" si="7"/>
        <v>12.24744871391589</v>
      </c>
      <c r="I106" s="1">
        <f t="shared" si="8"/>
        <v>3.872983346207417</v>
      </c>
      <c r="J106" s="1">
        <f t="shared" si="9"/>
        <v>15.684948198830622</v>
      </c>
      <c r="K106" s="1">
        <f t="shared" si="10"/>
        <v>1.4195069566578391</v>
      </c>
    </row>
    <row r="107" spans="1:11" x14ac:dyDescent="0.3">
      <c r="A107" s="8">
        <v>3</v>
      </c>
      <c r="B107" s="1">
        <v>150</v>
      </c>
      <c r="C107" s="1">
        <v>15</v>
      </c>
      <c r="D107" s="8">
        <v>509.44119999999998</v>
      </c>
      <c r="E107" s="1">
        <v>6.7</v>
      </c>
      <c r="G107" s="1">
        <f t="shared" si="6"/>
        <v>1.7320508075688772</v>
      </c>
      <c r="H107" s="1">
        <f t="shared" si="7"/>
        <v>12.24744871391589</v>
      </c>
      <c r="I107" s="1">
        <f t="shared" si="8"/>
        <v>3.872983346207417</v>
      </c>
      <c r="J107" s="1">
        <f t="shared" si="9"/>
        <v>22.570804150494947</v>
      </c>
      <c r="K107" s="1">
        <f t="shared" si="10"/>
        <v>2.5884358211089569</v>
      </c>
    </row>
    <row r="108" spans="1:11" x14ac:dyDescent="0.3">
      <c r="A108" s="8">
        <v>0</v>
      </c>
      <c r="B108" s="1">
        <v>200</v>
      </c>
      <c r="C108" s="1">
        <v>20</v>
      </c>
      <c r="D108" s="8">
        <v>241.398</v>
      </c>
      <c r="E108" s="1">
        <v>19.686</v>
      </c>
      <c r="G108" s="1">
        <f t="shared" si="6"/>
        <v>0</v>
      </c>
      <c r="H108" s="1">
        <f t="shared" si="7"/>
        <v>14.142135623730951</v>
      </c>
      <c r="I108" s="1">
        <f t="shared" si="8"/>
        <v>4.4721359549995796</v>
      </c>
      <c r="J108" s="1">
        <f t="shared" si="9"/>
        <v>15.536988125116142</v>
      </c>
      <c r="K108" s="1">
        <f t="shared" si="10"/>
        <v>4.4368908032540082</v>
      </c>
    </row>
    <row r="109" spans="1:11" x14ac:dyDescent="0.3">
      <c r="A109" s="8">
        <v>3</v>
      </c>
      <c r="B109" s="1">
        <v>150</v>
      </c>
      <c r="C109" s="1">
        <v>15</v>
      </c>
      <c r="D109" s="8">
        <v>387.7697</v>
      </c>
      <c r="E109" s="1">
        <v>6.1</v>
      </c>
      <c r="G109" s="1">
        <f t="shared" si="6"/>
        <v>1.7320508075688772</v>
      </c>
      <c r="H109" s="1">
        <f t="shared" si="7"/>
        <v>12.24744871391589</v>
      </c>
      <c r="I109" s="1">
        <f t="shared" si="8"/>
        <v>3.872983346207417</v>
      </c>
      <c r="J109" s="1">
        <f t="shared" si="9"/>
        <v>19.691868880327231</v>
      </c>
      <c r="K109" s="1">
        <f t="shared" si="10"/>
        <v>2.4698178070456938</v>
      </c>
    </row>
    <row r="110" spans="1:11" x14ac:dyDescent="0.3">
      <c r="A110" s="8">
        <v>3</v>
      </c>
      <c r="B110" s="1">
        <v>150</v>
      </c>
      <c r="C110" s="1">
        <v>10</v>
      </c>
      <c r="D110" s="8">
        <v>239.70070000000001</v>
      </c>
      <c r="E110" s="1">
        <v>5.65</v>
      </c>
      <c r="G110" s="1">
        <f t="shared" si="6"/>
        <v>1.7320508075688772</v>
      </c>
      <c r="H110" s="1">
        <f t="shared" si="7"/>
        <v>12.24744871391589</v>
      </c>
      <c r="I110" s="1">
        <f t="shared" si="8"/>
        <v>3.1622776601683795</v>
      </c>
      <c r="J110" s="1">
        <f t="shared" si="9"/>
        <v>15.482270505323179</v>
      </c>
      <c r="K110" s="1">
        <f t="shared" si="10"/>
        <v>2.3769728648009427</v>
      </c>
    </row>
    <row r="111" spans="1:11" x14ac:dyDescent="0.3">
      <c r="A111" s="8">
        <v>3</v>
      </c>
      <c r="B111" s="1">
        <v>125</v>
      </c>
      <c r="C111" s="1">
        <v>10</v>
      </c>
      <c r="D111" s="8">
        <v>366.84359999999998</v>
      </c>
      <c r="E111" s="1">
        <v>6.2</v>
      </c>
      <c r="G111" s="1">
        <f t="shared" si="6"/>
        <v>1.7320508075688772</v>
      </c>
      <c r="H111" s="1">
        <f t="shared" si="7"/>
        <v>11.180339887498949</v>
      </c>
      <c r="I111" s="1">
        <f t="shared" si="8"/>
        <v>3.1622776601683795</v>
      </c>
      <c r="J111" s="1">
        <f t="shared" si="9"/>
        <v>19.153161618907724</v>
      </c>
      <c r="K111" s="1">
        <f t="shared" si="10"/>
        <v>2.4899799195977463</v>
      </c>
    </row>
    <row r="112" spans="1:11" x14ac:dyDescent="0.3">
      <c r="A112" s="8">
        <v>6</v>
      </c>
      <c r="B112" s="1">
        <v>150</v>
      </c>
      <c r="C112" s="1">
        <v>25</v>
      </c>
      <c r="D112" s="8">
        <v>358.90730000000002</v>
      </c>
      <c r="E112" s="1">
        <v>2.35</v>
      </c>
      <c r="G112" s="1">
        <f t="shared" si="6"/>
        <v>2.4494897427831779</v>
      </c>
      <c r="H112" s="1">
        <f t="shared" si="7"/>
        <v>12.24744871391589</v>
      </c>
      <c r="I112" s="1">
        <f t="shared" si="8"/>
        <v>5</v>
      </c>
      <c r="J112" s="1">
        <f t="shared" si="9"/>
        <v>18.94484890412167</v>
      </c>
      <c r="K112" s="1">
        <f t="shared" si="10"/>
        <v>1.5329709716755893</v>
      </c>
    </row>
    <row r="113" spans="1:11" x14ac:dyDescent="0.3">
      <c r="A113" s="8">
        <v>3</v>
      </c>
      <c r="B113" s="1">
        <v>175</v>
      </c>
      <c r="C113" s="1">
        <v>15</v>
      </c>
      <c r="D113" s="8">
        <v>246.53899999999999</v>
      </c>
      <c r="E113" s="1">
        <v>5.4</v>
      </c>
      <c r="G113" s="1">
        <f t="shared" si="6"/>
        <v>1.7320508075688772</v>
      </c>
      <c r="H113" s="1">
        <f t="shared" si="7"/>
        <v>13.228756555322953</v>
      </c>
      <c r="I113" s="1">
        <f t="shared" si="8"/>
        <v>3.872983346207417</v>
      </c>
      <c r="J113" s="1">
        <f t="shared" si="9"/>
        <v>15.701560432008023</v>
      </c>
      <c r="K113" s="1">
        <f t="shared" si="10"/>
        <v>2.3237900077244502</v>
      </c>
    </row>
    <row r="114" spans="1:11" x14ac:dyDescent="0.3">
      <c r="A114" s="8">
        <v>3</v>
      </c>
      <c r="B114" s="1">
        <v>175</v>
      </c>
      <c r="C114" s="1">
        <v>25</v>
      </c>
      <c r="D114" s="8">
        <v>366.35359999999997</v>
      </c>
      <c r="E114" s="1">
        <v>5.9050000000000002</v>
      </c>
      <c r="G114" s="1">
        <f t="shared" si="6"/>
        <v>1.7320508075688772</v>
      </c>
      <c r="H114" s="1">
        <f t="shared" si="7"/>
        <v>13.228756555322953</v>
      </c>
      <c r="I114" s="1">
        <f t="shared" si="8"/>
        <v>5</v>
      </c>
      <c r="J114" s="1">
        <f t="shared" si="9"/>
        <v>19.140365722733723</v>
      </c>
      <c r="K114" s="1">
        <f t="shared" si="10"/>
        <v>2.4300205760445732</v>
      </c>
    </row>
    <row r="115" spans="1:11" x14ac:dyDescent="0.3">
      <c r="A115" s="8">
        <v>6</v>
      </c>
      <c r="B115" s="1">
        <v>150</v>
      </c>
      <c r="C115" s="1">
        <v>5</v>
      </c>
      <c r="D115" s="8">
        <v>365.29509999999999</v>
      </c>
      <c r="E115" s="1">
        <v>4.7</v>
      </c>
      <c r="G115" s="1">
        <f t="shared" si="6"/>
        <v>2.4494897427831779</v>
      </c>
      <c r="H115" s="1">
        <f t="shared" si="7"/>
        <v>12.24744871391589</v>
      </c>
      <c r="I115" s="1">
        <f t="shared" si="8"/>
        <v>2.2360679774997898</v>
      </c>
      <c r="J115" s="1">
        <f t="shared" si="9"/>
        <v>19.112694734128937</v>
      </c>
      <c r="K115" s="1">
        <f t="shared" si="10"/>
        <v>2.16794833886788</v>
      </c>
    </row>
    <row r="116" spans="1:11" x14ac:dyDescent="0.3">
      <c r="A116" s="8">
        <v>6</v>
      </c>
      <c r="B116" s="1">
        <v>100</v>
      </c>
      <c r="C116" s="1">
        <v>20</v>
      </c>
      <c r="D116" s="8">
        <v>505.5197</v>
      </c>
      <c r="E116" s="1">
        <v>2.4500000000000002</v>
      </c>
      <c r="G116" s="1">
        <f t="shared" si="6"/>
        <v>2.4494897427831779</v>
      </c>
      <c r="H116" s="1">
        <f t="shared" si="7"/>
        <v>10</v>
      </c>
      <c r="I116" s="1">
        <f t="shared" si="8"/>
        <v>4.4721359549995796</v>
      </c>
      <c r="J116" s="1">
        <f t="shared" si="9"/>
        <v>22.483765254067212</v>
      </c>
      <c r="K116" s="1">
        <f t="shared" si="10"/>
        <v>1.5652475842498528</v>
      </c>
    </row>
    <row r="117" spans="1:11" x14ac:dyDescent="0.3">
      <c r="A117" s="8">
        <v>3</v>
      </c>
      <c r="B117" s="1">
        <v>100</v>
      </c>
      <c r="C117" s="1">
        <v>10</v>
      </c>
      <c r="D117" s="8">
        <v>368.95800000000003</v>
      </c>
      <c r="E117" s="1">
        <v>5.7</v>
      </c>
      <c r="G117" s="1">
        <f t="shared" si="6"/>
        <v>1.7320508075688772</v>
      </c>
      <c r="H117" s="1">
        <f t="shared" si="7"/>
        <v>10</v>
      </c>
      <c r="I117" s="1">
        <f t="shared" si="8"/>
        <v>3.1622776601683795</v>
      </c>
      <c r="J117" s="1">
        <f t="shared" si="9"/>
        <v>19.208279464855774</v>
      </c>
      <c r="K117" s="1">
        <f t="shared" si="10"/>
        <v>2.3874672772626644</v>
      </c>
    </row>
    <row r="118" spans="1:11" x14ac:dyDescent="0.3">
      <c r="A118" s="8">
        <v>6</v>
      </c>
      <c r="B118" s="1">
        <v>175</v>
      </c>
      <c r="C118" s="1">
        <v>10</v>
      </c>
      <c r="D118" s="8">
        <v>360.25119999999998</v>
      </c>
      <c r="E118" s="1">
        <v>3.4660000000000002</v>
      </c>
      <c r="G118" s="1">
        <f t="shared" si="6"/>
        <v>2.4494897427831779</v>
      </c>
      <c r="H118" s="1">
        <f t="shared" si="7"/>
        <v>13.228756555322953</v>
      </c>
      <c r="I118" s="1">
        <f t="shared" si="8"/>
        <v>3.1622776601683795</v>
      </c>
      <c r="J118" s="1">
        <f t="shared" si="9"/>
        <v>18.980284507878167</v>
      </c>
      <c r="K118" s="1">
        <f t="shared" si="10"/>
        <v>1.8617196351760381</v>
      </c>
    </row>
    <row r="119" spans="1:11" x14ac:dyDescent="0.3">
      <c r="A119" s="8">
        <v>3</v>
      </c>
      <c r="B119" s="1">
        <v>150</v>
      </c>
      <c r="C119" s="1">
        <v>20</v>
      </c>
      <c r="D119" s="8">
        <v>486.86959999999999</v>
      </c>
      <c r="E119" s="1">
        <v>6.35</v>
      </c>
      <c r="G119" s="1">
        <f t="shared" si="6"/>
        <v>1.7320508075688772</v>
      </c>
      <c r="H119" s="1">
        <f t="shared" si="7"/>
        <v>12.24744871391589</v>
      </c>
      <c r="I119" s="1">
        <f t="shared" si="8"/>
        <v>4.4721359549995796</v>
      </c>
      <c r="J119" s="1">
        <f t="shared" si="9"/>
        <v>22.065121798893383</v>
      </c>
      <c r="K119" s="1">
        <f t="shared" si="10"/>
        <v>2.5199206336708304</v>
      </c>
    </row>
    <row r="120" spans="1:11" x14ac:dyDescent="0.3">
      <c r="A120" s="8">
        <v>0</v>
      </c>
      <c r="B120" s="1">
        <v>100</v>
      </c>
      <c r="C120" s="1">
        <v>10</v>
      </c>
      <c r="D120" s="8">
        <v>370.04590000000002</v>
      </c>
      <c r="E120" s="1">
        <v>20.02</v>
      </c>
      <c r="G120" s="1">
        <f t="shared" si="6"/>
        <v>0</v>
      </c>
      <c r="H120" s="1">
        <f t="shared" si="7"/>
        <v>10</v>
      </c>
      <c r="I120" s="1">
        <f t="shared" si="8"/>
        <v>3.1622776601683795</v>
      </c>
      <c r="J120" s="1">
        <f t="shared" si="9"/>
        <v>19.236577138358061</v>
      </c>
      <c r="K120" s="1">
        <f t="shared" si="10"/>
        <v>4.474371464239419</v>
      </c>
    </row>
    <row r="121" spans="1:11" x14ac:dyDescent="0.3">
      <c r="A121" s="8">
        <v>0</v>
      </c>
      <c r="B121" s="1">
        <v>175</v>
      </c>
      <c r="C121" s="1">
        <v>10</v>
      </c>
      <c r="D121" s="8">
        <v>361.37549999999999</v>
      </c>
      <c r="E121" s="1">
        <v>23.67</v>
      </c>
      <c r="G121" s="1">
        <f t="shared" si="6"/>
        <v>0</v>
      </c>
      <c r="H121" s="1">
        <f t="shared" si="7"/>
        <v>13.228756555322953</v>
      </c>
      <c r="I121" s="1">
        <f t="shared" si="8"/>
        <v>3.1622776601683795</v>
      </c>
      <c r="J121" s="1">
        <f t="shared" si="9"/>
        <v>19.009879010661798</v>
      </c>
      <c r="K121" s="1">
        <f t="shared" si="10"/>
        <v>4.8651824220680568</v>
      </c>
    </row>
    <row r="122" spans="1:11" x14ac:dyDescent="0.3">
      <c r="A122" s="8">
        <v>0</v>
      </c>
      <c r="B122" s="1">
        <v>100</v>
      </c>
      <c r="C122" s="1">
        <v>25</v>
      </c>
      <c r="D122" s="8">
        <v>243.46080000000001</v>
      </c>
      <c r="E122" s="1">
        <v>14.25</v>
      </c>
      <c r="G122" s="1">
        <f t="shared" si="6"/>
        <v>0</v>
      </c>
      <c r="H122" s="1">
        <f t="shared" si="7"/>
        <v>10</v>
      </c>
      <c r="I122" s="1">
        <f t="shared" si="8"/>
        <v>5</v>
      </c>
      <c r="J122" s="1">
        <f t="shared" si="9"/>
        <v>15.603230434752927</v>
      </c>
      <c r="K122" s="1">
        <f t="shared" si="10"/>
        <v>3.7749172176353749</v>
      </c>
    </row>
    <row r="123" spans="1:11" x14ac:dyDescent="0.3">
      <c r="A123" s="8">
        <v>0</v>
      </c>
      <c r="B123" s="1">
        <v>175</v>
      </c>
      <c r="C123" s="1">
        <v>25</v>
      </c>
      <c r="D123" s="8">
        <v>490.68939999999998</v>
      </c>
      <c r="E123" s="1">
        <v>22.95</v>
      </c>
      <c r="G123" s="1">
        <f t="shared" si="6"/>
        <v>0</v>
      </c>
      <c r="H123" s="1">
        <f t="shared" si="7"/>
        <v>13.228756555322953</v>
      </c>
      <c r="I123" s="1">
        <f t="shared" si="8"/>
        <v>5</v>
      </c>
      <c r="J123" s="1">
        <f t="shared" si="9"/>
        <v>22.151510106536755</v>
      </c>
      <c r="K123" s="1">
        <f t="shared" si="10"/>
        <v>4.7906158268013934</v>
      </c>
    </row>
    <row r="124" spans="1:11" x14ac:dyDescent="0.3">
      <c r="A124" s="8">
        <v>6</v>
      </c>
      <c r="B124" s="1">
        <v>150</v>
      </c>
      <c r="C124" s="1">
        <v>25</v>
      </c>
      <c r="D124" s="8">
        <v>242.10300000000001</v>
      </c>
      <c r="E124" s="1">
        <v>1.7450000000000001</v>
      </c>
      <c r="G124" s="1">
        <f t="shared" si="6"/>
        <v>2.4494897427831779</v>
      </c>
      <c r="H124" s="1">
        <f t="shared" si="7"/>
        <v>12.24744871391589</v>
      </c>
      <c r="I124" s="1">
        <f t="shared" si="8"/>
        <v>5</v>
      </c>
      <c r="J124" s="1">
        <f t="shared" si="9"/>
        <v>15.559659379305192</v>
      </c>
      <c r="K124" s="1">
        <f t="shared" si="10"/>
        <v>1.3209844813622906</v>
      </c>
    </row>
    <row r="125" spans="1:11" x14ac:dyDescent="0.3">
      <c r="A125" s="8">
        <v>3</v>
      </c>
      <c r="B125" s="1">
        <v>175</v>
      </c>
      <c r="C125" s="1">
        <v>20</v>
      </c>
      <c r="D125" s="8">
        <v>368.00029999999998</v>
      </c>
      <c r="E125" s="1">
        <v>6.0220000000000002</v>
      </c>
      <c r="G125" s="1">
        <f t="shared" si="6"/>
        <v>1.7320508075688772</v>
      </c>
      <c r="H125" s="1">
        <f t="shared" si="7"/>
        <v>13.228756555322953</v>
      </c>
      <c r="I125" s="1">
        <f t="shared" si="8"/>
        <v>4.4721359549995796</v>
      </c>
      <c r="J125" s="1">
        <f t="shared" si="9"/>
        <v>19.183333912539812</v>
      </c>
      <c r="K125" s="1">
        <f t="shared" si="10"/>
        <v>2.4539763650043578</v>
      </c>
    </row>
    <row r="126" spans="1:11" x14ac:dyDescent="0.3">
      <c r="A126" s="8">
        <v>6</v>
      </c>
      <c r="B126" s="1">
        <v>175</v>
      </c>
      <c r="C126" s="1">
        <v>5</v>
      </c>
      <c r="D126" s="8">
        <v>363.09879999999998</v>
      </c>
      <c r="E126" s="1">
        <v>4.8499999999999996</v>
      </c>
      <c r="G126" s="1">
        <f t="shared" si="6"/>
        <v>2.4494897427831779</v>
      </c>
      <c r="H126" s="1">
        <f t="shared" si="7"/>
        <v>13.228756555322953</v>
      </c>
      <c r="I126" s="1">
        <f t="shared" si="8"/>
        <v>2.2360679774997898</v>
      </c>
      <c r="J126" s="1">
        <f t="shared" si="9"/>
        <v>19.055151534427637</v>
      </c>
      <c r="K126" s="1">
        <f t="shared" si="10"/>
        <v>2.2022715545545242</v>
      </c>
    </row>
    <row r="127" spans="1:11" x14ac:dyDescent="0.3">
      <c r="A127" s="8">
        <v>6</v>
      </c>
      <c r="B127" s="1">
        <v>150</v>
      </c>
      <c r="C127" s="1">
        <v>15</v>
      </c>
      <c r="D127" s="8">
        <v>363.07549999999998</v>
      </c>
      <c r="E127" s="1">
        <v>2.75</v>
      </c>
      <c r="G127" s="1">
        <f t="shared" si="6"/>
        <v>2.4494897427831779</v>
      </c>
      <c r="H127" s="1">
        <f t="shared" si="7"/>
        <v>12.24744871391589</v>
      </c>
      <c r="I127" s="1">
        <f t="shared" si="8"/>
        <v>3.872983346207417</v>
      </c>
      <c r="J127" s="1">
        <f t="shared" si="9"/>
        <v>19.054540141394124</v>
      </c>
      <c r="K127" s="1">
        <f t="shared" si="10"/>
        <v>1.6583123951776999</v>
      </c>
    </row>
    <row r="128" spans="1:11" x14ac:dyDescent="0.3">
      <c r="A128" s="8">
        <v>0</v>
      </c>
      <c r="B128" s="1">
        <v>100</v>
      </c>
      <c r="C128" s="1">
        <v>25</v>
      </c>
      <c r="D128" s="8">
        <v>506.12700000000001</v>
      </c>
      <c r="E128" s="1">
        <v>18</v>
      </c>
      <c r="G128" s="1">
        <f t="shared" si="6"/>
        <v>0</v>
      </c>
      <c r="H128" s="1">
        <f t="shared" si="7"/>
        <v>10</v>
      </c>
      <c r="I128" s="1">
        <f t="shared" si="8"/>
        <v>5</v>
      </c>
      <c r="J128" s="1">
        <f t="shared" si="9"/>
        <v>22.497266500621805</v>
      </c>
      <c r="K128" s="1">
        <f t="shared" si="10"/>
        <v>4.2426406871192848</v>
      </c>
    </row>
    <row r="129" spans="1:11" x14ac:dyDescent="0.3">
      <c r="A129" s="8">
        <v>0</v>
      </c>
      <c r="B129" s="1">
        <v>200</v>
      </c>
      <c r="C129" s="1">
        <v>25</v>
      </c>
      <c r="D129" s="8">
        <v>363.26479999999998</v>
      </c>
      <c r="E129" s="1">
        <v>24.3</v>
      </c>
      <c r="G129" s="1">
        <f t="shared" si="6"/>
        <v>0</v>
      </c>
      <c r="H129" s="1">
        <f t="shared" si="7"/>
        <v>14.142135623730951</v>
      </c>
      <c r="I129" s="1">
        <f t="shared" si="8"/>
        <v>5</v>
      </c>
      <c r="J129" s="1">
        <f t="shared" si="9"/>
        <v>19.059506814185934</v>
      </c>
      <c r="K129" s="1">
        <f t="shared" si="10"/>
        <v>4.9295030175464953</v>
      </c>
    </row>
    <row r="130" spans="1:11" x14ac:dyDescent="0.3">
      <c r="A130" s="8">
        <v>0</v>
      </c>
      <c r="B130" s="1">
        <v>150</v>
      </c>
      <c r="C130" s="1">
        <v>5</v>
      </c>
      <c r="D130" s="8">
        <v>375.95760000000001</v>
      </c>
      <c r="E130" s="1">
        <v>23.388000000000002</v>
      </c>
      <c r="G130" s="1">
        <f t="shared" si="6"/>
        <v>0</v>
      </c>
      <c r="H130" s="1">
        <f t="shared" si="7"/>
        <v>12.24744871391589</v>
      </c>
      <c r="I130" s="1">
        <f t="shared" si="8"/>
        <v>2.2360679774997898</v>
      </c>
      <c r="J130" s="1">
        <f t="shared" si="9"/>
        <v>19.389626092320604</v>
      </c>
      <c r="K130" s="1">
        <f t="shared" si="10"/>
        <v>4.8361141425735603</v>
      </c>
    </row>
    <row r="131" spans="1:11" x14ac:dyDescent="0.3">
      <c r="A131" s="8">
        <v>3</v>
      </c>
      <c r="B131" s="1">
        <v>125</v>
      </c>
      <c r="C131" s="1">
        <v>15</v>
      </c>
      <c r="D131" s="8">
        <v>255.77780000000001</v>
      </c>
      <c r="E131" s="1">
        <v>5</v>
      </c>
      <c r="G131" s="1">
        <f t="shared" ref="G131:G181" si="11">SQRT(A131)</f>
        <v>1.7320508075688772</v>
      </c>
      <c r="H131" s="1">
        <f t="shared" ref="H131:H181" si="12">SQRT(B131)</f>
        <v>11.180339887498949</v>
      </c>
      <c r="I131" s="1">
        <f t="shared" ref="I131:I181" si="13">SQRT(C131)</f>
        <v>3.872983346207417</v>
      </c>
      <c r="J131" s="1">
        <f t="shared" ref="J131:J181" si="14">SQRT(D131)</f>
        <v>15.993054742606242</v>
      </c>
      <c r="K131" s="1">
        <f t="shared" ref="K131:K181" si="15">SQRT(E131)</f>
        <v>2.2360679774997898</v>
      </c>
    </row>
    <row r="132" spans="1:11" x14ac:dyDescent="0.3">
      <c r="A132" s="8">
        <v>3</v>
      </c>
      <c r="B132" s="1">
        <v>200</v>
      </c>
      <c r="C132" s="1">
        <v>20</v>
      </c>
      <c r="D132" s="8">
        <v>488.95339999999999</v>
      </c>
      <c r="E132" s="1">
        <v>6.75</v>
      </c>
      <c r="G132" s="1">
        <f t="shared" si="11"/>
        <v>1.7320508075688772</v>
      </c>
      <c r="H132" s="1">
        <f t="shared" si="12"/>
        <v>14.142135623730951</v>
      </c>
      <c r="I132" s="1">
        <f t="shared" si="13"/>
        <v>4.4721359549995796</v>
      </c>
      <c r="J132" s="1">
        <f t="shared" si="14"/>
        <v>22.112290699970458</v>
      </c>
      <c r="K132" s="1">
        <f t="shared" si="15"/>
        <v>2.598076211353316</v>
      </c>
    </row>
    <row r="133" spans="1:11" x14ac:dyDescent="0.3">
      <c r="A133" s="8">
        <v>6</v>
      </c>
      <c r="B133" s="1">
        <v>200</v>
      </c>
      <c r="C133" s="1">
        <v>25</v>
      </c>
      <c r="D133" s="8">
        <v>502.51389999999998</v>
      </c>
      <c r="E133" s="1">
        <v>3.3479999999999999</v>
      </c>
      <c r="G133" s="1">
        <f t="shared" si="11"/>
        <v>2.4494897427831779</v>
      </c>
      <c r="H133" s="1">
        <f t="shared" si="12"/>
        <v>14.142135623730951</v>
      </c>
      <c r="I133" s="1">
        <f t="shared" si="13"/>
        <v>5</v>
      </c>
      <c r="J133" s="1">
        <f t="shared" si="14"/>
        <v>22.416821808632907</v>
      </c>
      <c r="K133" s="1">
        <f t="shared" si="15"/>
        <v>1.8297540818372287</v>
      </c>
    </row>
    <row r="134" spans="1:11" x14ac:dyDescent="0.3">
      <c r="A134" s="8">
        <v>3</v>
      </c>
      <c r="B134" s="1">
        <v>100</v>
      </c>
      <c r="C134" s="1">
        <v>5</v>
      </c>
      <c r="D134" s="8">
        <v>500.05759999999998</v>
      </c>
      <c r="E134" s="1">
        <v>8.0719999999999992</v>
      </c>
      <c r="G134" s="1">
        <f t="shared" si="11"/>
        <v>1.7320508075688772</v>
      </c>
      <c r="H134" s="1">
        <f t="shared" si="12"/>
        <v>10</v>
      </c>
      <c r="I134" s="1">
        <f t="shared" si="13"/>
        <v>2.2360679774997898</v>
      </c>
      <c r="J134" s="1">
        <f t="shared" si="14"/>
        <v>22.361967713061389</v>
      </c>
      <c r="K134" s="1">
        <f t="shared" si="15"/>
        <v>2.8411265371327619</v>
      </c>
    </row>
    <row r="135" spans="1:11" x14ac:dyDescent="0.3">
      <c r="A135" s="8">
        <v>6</v>
      </c>
      <c r="B135" s="1">
        <v>175</v>
      </c>
      <c r="C135" s="1">
        <v>10</v>
      </c>
      <c r="D135" s="8">
        <v>243.9716</v>
      </c>
      <c r="E135" s="1">
        <v>2.6</v>
      </c>
      <c r="G135" s="1">
        <f t="shared" si="11"/>
        <v>2.4494897427831779</v>
      </c>
      <c r="H135" s="1">
        <f t="shared" si="12"/>
        <v>13.228756555322953</v>
      </c>
      <c r="I135" s="1">
        <f t="shared" si="13"/>
        <v>3.1622776601683795</v>
      </c>
      <c r="J135" s="1">
        <f t="shared" si="14"/>
        <v>15.619590263512036</v>
      </c>
      <c r="K135" s="1">
        <f t="shared" si="15"/>
        <v>1.61245154965971</v>
      </c>
    </row>
    <row r="136" spans="1:11" x14ac:dyDescent="0.3">
      <c r="A136" s="8">
        <v>0</v>
      </c>
      <c r="B136" s="1">
        <v>125</v>
      </c>
      <c r="C136" s="1">
        <v>20</v>
      </c>
      <c r="D136" s="8">
        <v>246.8937</v>
      </c>
      <c r="E136" s="1">
        <v>17</v>
      </c>
      <c r="G136" s="1">
        <f t="shared" si="11"/>
        <v>0</v>
      </c>
      <c r="H136" s="1">
        <f t="shared" si="12"/>
        <v>11.180339887498949</v>
      </c>
      <c r="I136" s="1">
        <f t="shared" si="13"/>
        <v>4.4721359549995796</v>
      </c>
      <c r="J136" s="1">
        <f t="shared" si="14"/>
        <v>15.712851428050861</v>
      </c>
      <c r="K136" s="1">
        <f t="shared" si="15"/>
        <v>4.1231056256176606</v>
      </c>
    </row>
    <row r="137" spans="1:11" x14ac:dyDescent="0.3">
      <c r="A137" s="8">
        <v>0</v>
      </c>
      <c r="B137" s="1">
        <v>200</v>
      </c>
      <c r="C137" s="1">
        <v>5</v>
      </c>
      <c r="D137" s="8">
        <v>514.99080000000004</v>
      </c>
      <c r="E137" s="1">
        <v>28.85</v>
      </c>
      <c r="G137" s="1">
        <f t="shared" si="11"/>
        <v>0</v>
      </c>
      <c r="H137" s="1">
        <f t="shared" si="12"/>
        <v>14.142135623730951</v>
      </c>
      <c r="I137" s="1">
        <f t="shared" si="13"/>
        <v>2.2360679774997898</v>
      </c>
      <c r="J137" s="1">
        <f t="shared" si="14"/>
        <v>22.693408734696515</v>
      </c>
      <c r="K137" s="1">
        <f t="shared" si="15"/>
        <v>5.3712196007983142</v>
      </c>
    </row>
    <row r="138" spans="1:11" x14ac:dyDescent="0.3">
      <c r="A138" s="8">
        <v>0</v>
      </c>
      <c r="B138" s="1">
        <v>200</v>
      </c>
      <c r="C138" s="1">
        <v>15</v>
      </c>
      <c r="D138" s="8">
        <v>372.06959999999998</v>
      </c>
      <c r="E138" s="1">
        <v>24.25</v>
      </c>
      <c r="G138" s="1">
        <f t="shared" si="11"/>
        <v>0</v>
      </c>
      <c r="H138" s="1">
        <f t="shared" si="12"/>
        <v>14.142135623730951</v>
      </c>
      <c r="I138" s="1">
        <f t="shared" si="13"/>
        <v>3.872983346207417</v>
      </c>
      <c r="J138" s="1">
        <f t="shared" si="14"/>
        <v>19.289105733548148</v>
      </c>
      <c r="K138" s="1">
        <f t="shared" si="15"/>
        <v>4.924428900898052</v>
      </c>
    </row>
    <row r="139" spans="1:11" x14ac:dyDescent="0.3">
      <c r="A139" s="8">
        <v>3</v>
      </c>
      <c r="B139" s="1">
        <v>100</v>
      </c>
      <c r="C139" s="1">
        <v>10</v>
      </c>
      <c r="D139" s="8">
        <v>253.12860000000001</v>
      </c>
      <c r="E139" s="1">
        <v>5</v>
      </c>
      <c r="G139" s="1">
        <f t="shared" si="11"/>
        <v>1.7320508075688772</v>
      </c>
      <c r="H139" s="1">
        <f t="shared" si="12"/>
        <v>10</v>
      </c>
      <c r="I139" s="1">
        <f t="shared" si="13"/>
        <v>3.1622776601683795</v>
      </c>
      <c r="J139" s="1">
        <f t="shared" si="14"/>
        <v>15.910015713380046</v>
      </c>
      <c r="K139" s="1">
        <f t="shared" si="15"/>
        <v>2.2360679774997898</v>
      </c>
    </row>
    <row r="140" spans="1:11" x14ac:dyDescent="0.3">
      <c r="A140" s="8">
        <v>3</v>
      </c>
      <c r="B140" s="1">
        <v>200</v>
      </c>
      <c r="C140" s="1">
        <v>5</v>
      </c>
      <c r="D140" s="8">
        <v>243.21870000000001</v>
      </c>
      <c r="E140" s="1">
        <v>7.2</v>
      </c>
      <c r="G140" s="1">
        <f t="shared" si="11"/>
        <v>1.7320508075688772</v>
      </c>
      <c r="H140" s="1">
        <f t="shared" si="12"/>
        <v>14.142135623730951</v>
      </c>
      <c r="I140" s="1">
        <f t="shared" si="13"/>
        <v>2.2360679774997898</v>
      </c>
      <c r="J140" s="1">
        <f t="shared" si="14"/>
        <v>15.595470496269101</v>
      </c>
      <c r="K140" s="1">
        <f t="shared" si="15"/>
        <v>2.6832815729997477</v>
      </c>
    </row>
    <row r="141" spans="1:11" x14ac:dyDescent="0.3">
      <c r="A141" s="8">
        <v>0</v>
      </c>
      <c r="B141" s="1">
        <v>125</v>
      </c>
      <c r="C141" s="1">
        <v>5</v>
      </c>
      <c r="D141" s="8">
        <v>492.53019999999998</v>
      </c>
      <c r="E141" s="1">
        <v>24.55</v>
      </c>
      <c r="G141" s="1">
        <f t="shared" si="11"/>
        <v>0</v>
      </c>
      <c r="H141" s="1">
        <f t="shared" si="12"/>
        <v>11.180339887498949</v>
      </c>
      <c r="I141" s="1">
        <f t="shared" si="13"/>
        <v>2.2360679774997898</v>
      </c>
      <c r="J141" s="1">
        <f t="shared" si="14"/>
        <v>22.193021425664419</v>
      </c>
      <c r="K141" s="1">
        <f t="shared" si="15"/>
        <v>4.9547956567349978</v>
      </c>
    </row>
    <row r="142" spans="1:11" x14ac:dyDescent="0.3">
      <c r="A142" s="8">
        <v>6</v>
      </c>
      <c r="B142" s="1">
        <v>175</v>
      </c>
      <c r="C142" s="1">
        <v>15</v>
      </c>
      <c r="D142" s="8">
        <v>361.49860000000001</v>
      </c>
      <c r="E142" s="1">
        <v>2.9630000000000001</v>
      </c>
      <c r="G142" s="1">
        <f t="shared" si="11"/>
        <v>2.4494897427831779</v>
      </c>
      <c r="H142" s="1">
        <f t="shared" si="12"/>
        <v>13.228756555322953</v>
      </c>
      <c r="I142" s="1">
        <f t="shared" si="13"/>
        <v>3.872983346207417</v>
      </c>
      <c r="J142" s="1">
        <f t="shared" si="14"/>
        <v>19.013116525178084</v>
      </c>
      <c r="K142" s="1">
        <f t="shared" si="15"/>
        <v>1.7213366899011942</v>
      </c>
    </row>
    <row r="143" spans="1:11" x14ac:dyDescent="0.3">
      <c r="A143" s="8">
        <v>0</v>
      </c>
      <c r="B143" s="1">
        <v>175</v>
      </c>
      <c r="C143" s="1">
        <v>15</v>
      </c>
      <c r="D143" s="8">
        <v>499.88189999999997</v>
      </c>
      <c r="E143" s="1">
        <v>25.49</v>
      </c>
      <c r="G143" s="1">
        <f t="shared" si="11"/>
        <v>0</v>
      </c>
      <c r="H143" s="1">
        <f t="shared" si="12"/>
        <v>13.228756555322953</v>
      </c>
      <c r="I143" s="1">
        <f t="shared" si="13"/>
        <v>3.872983346207417</v>
      </c>
      <c r="J143" s="1">
        <f t="shared" si="14"/>
        <v>22.358038822759031</v>
      </c>
      <c r="K143" s="1">
        <f t="shared" si="15"/>
        <v>5.0487622245457349</v>
      </c>
    </row>
    <row r="144" spans="1:11" x14ac:dyDescent="0.3">
      <c r="A144" s="8">
        <v>0</v>
      </c>
      <c r="B144" s="1">
        <v>100</v>
      </c>
      <c r="C144" s="1">
        <v>5</v>
      </c>
      <c r="D144" s="8">
        <v>260.32670000000002</v>
      </c>
      <c r="E144" s="1">
        <v>17.899999999999999</v>
      </c>
      <c r="G144" s="1">
        <f t="shared" si="11"/>
        <v>0</v>
      </c>
      <c r="H144" s="1">
        <f t="shared" si="12"/>
        <v>10</v>
      </c>
      <c r="I144" s="1">
        <f t="shared" si="13"/>
        <v>2.2360679774997898</v>
      </c>
      <c r="J144" s="1">
        <f t="shared" si="14"/>
        <v>16.134642853190151</v>
      </c>
      <c r="K144" s="1">
        <f t="shared" si="15"/>
        <v>4.2308391602612359</v>
      </c>
    </row>
    <row r="145" spans="1:11" x14ac:dyDescent="0.3">
      <c r="A145" s="8">
        <v>0</v>
      </c>
      <c r="B145" s="1">
        <v>150</v>
      </c>
      <c r="C145" s="1">
        <v>25</v>
      </c>
      <c r="D145" s="8">
        <v>354.87799999999999</v>
      </c>
      <c r="E145" s="1">
        <v>19.399999999999999</v>
      </c>
      <c r="G145" s="1">
        <f t="shared" si="11"/>
        <v>0</v>
      </c>
      <c r="H145" s="1">
        <f t="shared" si="12"/>
        <v>12.24744871391589</v>
      </c>
      <c r="I145" s="1">
        <f t="shared" si="13"/>
        <v>5</v>
      </c>
      <c r="J145" s="1">
        <f t="shared" si="14"/>
        <v>18.838205859369943</v>
      </c>
      <c r="K145" s="1">
        <f t="shared" si="15"/>
        <v>4.4045431091090483</v>
      </c>
    </row>
    <row r="146" spans="1:11" x14ac:dyDescent="0.3">
      <c r="A146" s="8">
        <v>3</v>
      </c>
      <c r="B146" s="1">
        <v>175</v>
      </c>
      <c r="C146" s="1">
        <v>25</v>
      </c>
      <c r="D146" s="8">
        <v>515.13070000000005</v>
      </c>
      <c r="E146" s="1">
        <v>6.5</v>
      </c>
      <c r="G146" s="1">
        <f t="shared" si="11"/>
        <v>1.7320508075688772</v>
      </c>
      <c r="H146" s="1">
        <f t="shared" si="12"/>
        <v>13.228756555322953</v>
      </c>
      <c r="I146" s="1">
        <f t="shared" si="13"/>
        <v>5</v>
      </c>
      <c r="J146" s="1">
        <f t="shared" si="14"/>
        <v>22.69649091820143</v>
      </c>
      <c r="K146" s="1">
        <f t="shared" si="15"/>
        <v>2.5495097567963922</v>
      </c>
    </row>
    <row r="147" spans="1:11" x14ac:dyDescent="0.3">
      <c r="A147" s="8">
        <v>6</v>
      </c>
      <c r="B147" s="1">
        <v>200</v>
      </c>
      <c r="C147" s="1">
        <v>5</v>
      </c>
      <c r="D147" s="8">
        <v>356.04450000000003</v>
      </c>
      <c r="E147" s="1">
        <v>4.984</v>
      </c>
      <c r="G147" s="1">
        <f t="shared" si="11"/>
        <v>2.4494897427831779</v>
      </c>
      <c r="H147" s="1">
        <f t="shared" si="12"/>
        <v>14.142135623730951</v>
      </c>
      <c r="I147" s="1">
        <f t="shared" si="13"/>
        <v>2.2360679774997898</v>
      </c>
      <c r="J147" s="1">
        <f t="shared" si="14"/>
        <v>18.869141474905529</v>
      </c>
      <c r="K147" s="1">
        <f t="shared" si="15"/>
        <v>2.2324874019801322</v>
      </c>
    </row>
    <row r="148" spans="1:11" x14ac:dyDescent="0.3">
      <c r="A148" s="8">
        <v>3</v>
      </c>
      <c r="B148" s="1">
        <v>150</v>
      </c>
      <c r="C148" s="1">
        <v>20</v>
      </c>
      <c r="D148" s="8">
        <v>367.79399999999998</v>
      </c>
      <c r="E148" s="1">
        <v>5.8250000000000002</v>
      </c>
      <c r="G148" s="1">
        <f t="shared" si="11"/>
        <v>1.7320508075688772</v>
      </c>
      <c r="H148" s="1">
        <f t="shared" si="12"/>
        <v>12.24744871391589</v>
      </c>
      <c r="I148" s="1">
        <f t="shared" si="13"/>
        <v>4.4721359549995796</v>
      </c>
      <c r="J148" s="1">
        <f t="shared" si="14"/>
        <v>19.177956095475867</v>
      </c>
      <c r="K148" s="1">
        <f t="shared" si="15"/>
        <v>2.4135036772294343</v>
      </c>
    </row>
    <row r="149" spans="1:11" x14ac:dyDescent="0.3">
      <c r="A149" s="8">
        <v>3</v>
      </c>
      <c r="B149" s="1">
        <v>125</v>
      </c>
      <c r="C149" s="1">
        <v>10</v>
      </c>
      <c r="D149" s="8">
        <v>496.32769999999999</v>
      </c>
      <c r="E149" s="1">
        <v>6.9169999999999998</v>
      </c>
      <c r="G149" s="1">
        <f t="shared" si="11"/>
        <v>1.7320508075688772</v>
      </c>
      <c r="H149" s="1">
        <f t="shared" si="12"/>
        <v>11.180339887498949</v>
      </c>
      <c r="I149" s="1">
        <f t="shared" si="13"/>
        <v>3.1622776601683795</v>
      </c>
      <c r="J149" s="1">
        <f t="shared" si="14"/>
        <v>22.278413318726269</v>
      </c>
      <c r="K149" s="1">
        <f t="shared" si="15"/>
        <v>2.6300190113381308</v>
      </c>
    </row>
    <row r="150" spans="1:11" x14ac:dyDescent="0.3">
      <c r="A150" s="8">
        <v>3</v>
      </c>
      <c r="B150" s="1">
        <v>175</v>
      </c>
      <c r="C150" s="1">
        <v>25</v>
      </c>
      <c r="D150" s="8">
        <v>240.80009999999999</v>
      </c>
      <c r="E150" s="1">
        <v>5.0999999999999996</v>
      </c>
      <c r="G150" s="1">
        <f t="shared" si="11"/>
        <v>1.7320508075688772</v>
      </c>
      <c r="H150" s="1">
        <f t="shared" si="12"/>
        <v>13.228756555322953</v>
      </c>
      <c r="I150" s="1">
        <f t="shared" si="13"/>
        <v>5</v>
      </c>
      <c r="J150" s="1">
        <f t="shared" si="14"/>
        <v>15.517735015136713</v>
      </c>
      <c r="K150" s="1">
        <f t="shared" si="15"/>
        <v>2.2583179581272428</v>
      </c>
    </row>
    <row r="151" spans="1:11" x14ac:dyDescent="0.3">
      <c r="A151" s="8">
        <v>0</v>
      </c>
      <c r="B151" s="1">
        <v>175</v>
      </c>
      <c r="C151" s="1">
        <v>25</v>
      </c>
      <c r="D151" s="8">
        <v>238.74590000000001</v>
      </c>
      <c r="E151" s="1">
        <v>17.850000000000001</v>
      </c>
      <c r="G151" s="1">
        <f t="shared" si="11"/>
        <v>0</v>
      </c>
      <c r="H151" s="1">
        <f t="shared" si="12"/>
        <v>13.228756555322953</v>
      </c>
      <c r="I151" s="1">
        <f t="shared" si="13"/>
        <v>5</v>
      </c>
      <c r="J151" s="1">
        <f t="shared" si="14"/>
        <v>15.451404466908501</v>
      </c>
      <c r="K151" s="1">
        <f t="shared" si="15"/>
        <v>4.224926034855522</v>
      </c>
    </row>
    <row r="152" spans="1:11" x14ac:dyDescent="0.3">
      <c r="A152" s="8">
        <v>3</v>
      </c>
      <c r="B152" s="1">
        <v>175</v>
      </c>
      <c r="C152" s="1">
        <v>20</v>
      </c>
      <c r="D152" s="8">
        <v>505.79910000000001</v>
      </c>
      <c r="E152" s="1">
        <v>6.6349999999999998</v>
      </c>
      <c r="G152" s="1">
        <f t="shared" si="11"/>
        <v>1.7320508075688772</v>
      </c>
      <c r="H152" s="1">
        <f t="shared" si="12"/>
        <v>13.228756555322953</v>
      </c>
      <c r="I152" s="1">
        <f t="shared" si="13"/>
        <v>4.4721359549995796</v>
      </c>
      <c r="J152" s="1">
        <f t="shared" si="14"/>
        <v>22.489977767885854</v>
      </c>
      <c r="K152" s="1">
        <f t="shared" si="15"/>
        <v>2.5758493744782514</v>
      </c>
    </row>
    <row r="153" spans="1:11" x14ac:dyDescent="0.3">
      <c r="A153" s="8">
        <v>6</v>
      </c>
      <c r="B153" s="1">
        <v>200</v>
      </c>
      <c r="C153" s="1">
        <v>15</v>
      </c>
      <c r="D153" s="8">
        <v>252.1524</v>
      </c>
      <c r="E153" s="1">
        <v>2.33</v>
      </c>
      <c r="G153" s="1">
        <f t="shared" si="11"/>
        <v>2.4494897427831779</v>
      </c>
      <c r="H153" s="1">
        <f t="shared" si="12"/>
        <v>14.142135623730951</v>
      </c>
      <c r="I153" s="1">
        <f t="shared" si="13"/>
        <v>3.872983346207417</v>
      </c>
      <c r="J153" s="1">
        <f t="shared" si="14"/>
        <v>15.879307289677342</v>
      </c>
      <c r="K153" s="1">
        <f t="shared" si="15"/>
        <v>1.5264337522473748</v>
      </c>
    </row>
    <row r="154" spans="1:11" x14ac:dyDescent="0.3">
      <c r="A154" s="8">
        <v>6</v>
      </c>
      <c r="B154" s="1">
        <v>100</v>
      </c>
      <c r="C154" s="1">
        <v>5</v>
      </c>
      <c r="D154" s="8">
        <v>250.0668</v>
      </c>
      <c r="E154" s="1">
        <v>3.1</v>
      </c>
      <c r="G154" s="1">
        <f t="shared" si="11"/>
        <v>2.4494897427831779</v>
      </c>
      <c r="H154" s="1">
        <f t="shared" si="12"/>
        <v>10</v>
      </c>
      <c r="I154" s="1">
        <f t="shared" si="13"/>
        <v>2.2360679774997898</v>
      </c>
      <c r="J154" s="1">
        <f t="shared" si="14"/>
        <v>15.81350056122932</v>
      </c>
      <c r="K154" s="1">
        <f t="shared" si="15"/>
        <v>1.7606816861659009</v>
      </c>
    </row>
    <row r="155" spans="1:11" x14ac:dyDescent="0.3">
      <c r="A155" s="8">
        <v>3</v>
      </c>
      <c r="B155" s="1">
        <v>200</v>
      </c>
      <c r="C155" s="1">
        <v>25</v>
      </c>
      <c r="D155" s="8">
        <v>498.51609999999999</v>
      </c>
      <c r="E155" s="1">
        <v>6.65</v>
      </c>
      <c r="G155" s="1">
        <f t="shared" si="11"/>
        <v>1.7320508075688772</v>
      </c>
      <c r="H155" s="1">
        <f t="shared" si="12"/>
        <v>14.142135623730951</v>
      </c>
      <c r="I155" s="1">
        <f t="shared" si="13"/>
        <v>5</v>
      </c>
      <c r="J155" s="1">
        <f t="shared" si="14"/>
        <v>22.327474107027871</v>
      </c>
      <c r="K155" s="1">
        <f t="shared" si="15"/>
        <v>2.5787593916455256</v>
      </c>
    </row>
    <row r="156" spans="1:11" x14ac:dyDescent="0.3">
      <c r="A156" s="8">
        <v>0</v>
      </c>
      <c r="B156" s="1">
        <v>200</v>
      </c>
      <c r="C156" s="1">
        <v>20</v>
      </c>
      <c r="D156" s="8">
        <v>363.26479999999998</v>
      </c>
      <c r="E156" s="1">
        <v>23</v>
      </c>
      <c r="G156" s="1">
        <f t="shared" si="11"/>
        <v>0</v>
      </c>
      <c r="H156" s="1">
        <f t="shared" si="12"/>
        <v>14.142135623730951</v>
      </c>
      <c r="I156" s="1">
        <f t="shared" si="13"/>
        <v>4.4721359549995796</v>
      </c>
      <c r="J156" s="1">
        <f t="shared" si="14"/>
        <v>19.059506814185934</v>
      </c>
      <c r="K156" s="1">
        <f t="shared" si="15"/>
        <v>4.7958315233127191</v>
      </c>
    </row>
    <row r="157" spans="1:11" x14ac:dyDescent="0.3">
      <c r="A157" s="8">
        <v>3</v>
      </c>
      <c r="B157" s="1">
        <v>125</v>
      </c>
      <c r="C157" s="1">
        <v>15</v>
      </c>
      <c r="D157" s="8">
        <v>490.15050000000002</v>
      </c>
      <c r="E157" s="1">
        <v>6.3</v>
      </c>
      <c r="G157" s="1">
        <f t="shared" si="11"/>
        <v>1.7320508075688772</v>
      </c>
      <c r="H157" s="1">
        <f t="shared" si="12"/>
        <v>11.180339887498949</v>
      </c>
      <c r="I157" s="1">
        <f t="shared" si="13"/>
        <v>3.872983346207417</v>
      </c>
      <c r="J157" s="1">
        <f t="shared" si="14"/>
        <v>22.139342808674336</v>
      </c>
      <c r="K157" s="1">
        <f t="shared" si="15"/>
        <v>2.5099800796022267</v>
      </c>
    </row>
    <row r="158" spans="1:11" x14ac:dyDescent="0.3">
      <c r="A158" s="8">
        <v>0</v>
      </c>
      <c r="B158" s="1">
        <v>125</v>
      </c>
      <c r="C158" s="1">
        <v>20</v>
      </c>
      <c r="D158" s="8">
        <v>494.47989999999999</v>
      </c>
      <c r="E158" s="1">
        <v>21.15</v>
      </c>
      <c r="G158" s="1">
        <f t="shared" si="11"/>
        <v>0</v>
      </c>
      <c r="H158" s="1">
        <f t="shared" si="12"/>
        <v>11.180339887498949</v>
      </c>
      <c r="I158" s="1">
        <f t="shared" si="13"/>
        <v>4.4721359549995796</v>
      </c>
      <c r="J158" s="1">
        <f t="shared" si="14"/>
        <v>22.23690401112529</v>
      </c>
      <c r="K158" s="1">
        <f t="shared" si="15"/>
        <v>4.5989129150267676</v>
      </c>
    </row>
    <row r="159" spans="1:11" x14ac:dyDescent="0.3">
      <c r="A159" s="8">
        <v>0</v>
      </c>
      <c r="B159" s="1">
        <v>150</v>
      </c>
      <c r="C159" s="1">
        <v>5</v>
      </c>
      <c r="D159" s="8">
        <v>253.73269999999999</v>
      </c>
      <c r="E159" s="1">
        <v>20</v>
      </c>
      <c r="G159" s="1">
        <f t="shared" si="11"/>
        <v>0</v>
      </c>
      <c r="H159" s="1">
        <f t="shared" si="12"/>
        <v>12.24744871391589</v>
      </c>
      <c r="I159" s="1">
        <f t="shared" si="13"/>
        <v>2.2360679774997898</v>
      </c>
      <c r="J159" s="1">
        <f t="shared" si="14"/>
        <v>15.928989296248522</v>
      </c>
      <c r="K159" s="1">
        <f t="shared" si="15"/>
        <v>4.4721359549995796</v>
      </c>
    </row>
    <row r="160" spans="1:11" x14ac:dyDescent="0.3">
      <c r="A160" s="8">
        <v>6</v>
      </c>
      <c r="B160" s="1">
        <v>125</v>
      </c>
      <c r="C160" s="1">
        <v>5</v>
      </c>
      <c r="D160" s="8">
        <v>493.0992</v>
      </c>
      <c r="E160" s="1">
        <v>5.23</v>
      </c>
      <c r="G160" s="1">
        <f t="shared" si="11"/>
        <v>2.4494897427831779</v>
      </c>
      <c r="H160" s="1">
        <f t="shared" si="12"/>
        <v>11.180339887498949</v>
      </c>
      <c r="I160" s="1">
        <f t="shared" si="13"/>
        <v>2.2360679774997898</v>
      </c>
      <c r="J160" s="1">
        <f t="shared" si="14"/>
        <v>22.205837070464153</v>
      </c>
      <c r="K160" s="1">
        <f t="shared" si="15"/>
        <v>2.2869193252058544</v>
      </c>
    </row>
    <row r="161" spans="1:11" x14ac:dyDescent="0.3">
      <c r="A161" s="8">
        <v>0</v>
      </c>
      <c r="B161" s="1">
        <v>125</v>
      </c>
      <c r="C161" s="1">
        <v>15</v>
      </c>
      <c r="D161" s="8">
        <v>255.12970000000001</v>
      </c>
      <c r="E161" s="1">
        <v>18.079999999999998</v>
      </c>
      <c r="G161" s="1">
        <f t="shared" si="11"/>
        <v>0</v>
      </c>
      <c r="H161" s="1">
        <f t="shared" si="12"/>
        <v>11.180339887498949</v>
      </c>
      <c r="I161" s="1">
        <f t="shared" si="13"/>
        <v>3.872983346207417</v>
      </c>
      <c r="J161" s="1">
        <f t="shared" si="14"/>
        <v>15.972779970938058</v>
      </c>
      <c r="K161" s="1">
        <f t="shared" si="15"/>
        <v>4.2520583250938593</v>
      </c>
    </row>
    <row r="162" spans="1:11" x14ac:dyDescent="0.3">
      <c r="A162" s="8">
        <v>3</v>
      </c>
      <c r="B162" s="1">
        <v>100</v>
      </c>
      <c r="C162" s="1">
        <v>25</v>
      </c>
      <c r="D162" s="8">
        <v>511.91719999999998</v>
      </c>
      <c r="E162" s="1">
        <v>5.6</v>
      </c>
      <c r="G162" s="1">
        <f t="shared" si="11"/>
        <v>1.7320508075688772</v>
      </c>
      <c r="H162" s="1">
        <f t="shared" si="12"/>
        <v>10</v>
      </c>
      <c r="I162" s="1">
        <f t="shared" si="13"/>
        <v>5</v>
      </c>
      <c r="J162" s="1">
        <f t="shared" si="14"/>
        <v>22.625587285195493</v>
      </c>
      <c r="K162" s="1">
        <f t="shared" si="15"/>
        <v>2.3664319132398464</v>
      </c>
    </row>
    <row r="163" spans="1:11" x14ac:dyDescent="0.3">
      <c r="A163" s="8">
        <v>3</v>
      </c>
      <c r="B163" s="1">
        <v>200</v>
      </c>
      <c r="C163" s="1">
        <v>25</v>
      </c>
      <c r="D163" s="8">
        <v>241.49860000000001</v>
      </c>
      <c r="E163" s="1">
        <v>5.3</v>
      </c>
      <c r="G163" s="1">
        <f t="shared" si="11"/>
        <v>1.7320508075688772</v>
      </c>
      <c r="H163" s="1">
        <f t="shared" si="12"/>
        <v>14.142135623730951</v>
      </c>
      <c r="I163" s="1">
        <f t="shared" si="13"/>
        <v>5</v>
      </c>
      <c r="J163" s="1">
        <f t="shared" si="14"/>
        <v>15.540225223593126</v>
      </c>
      <c r="K163" s="1">
        <f t="shared" si="15"/>
        <v>2.3021728866442674</v>
      </c>
    </row>
    <row r="164" spans="1:11" x14ac:dyDescent="0.3">
      <c r="A164" s="8">
        <v>0</v>
      </c>
      <c r="B164" s="1">
        <v>175</v>
      </c>
      <c r="C164" s="1">
        <v>25</v>
      </c>
      <c r="D164" s="8">
        <v>370.43340000000001</v>
      </c>
      <c r="E164" s="1">
        <v>20.85</v>
      </c>
      <c r="G164" s="1">
        <f t="shared" si="11"/>
        <v>0</v>
      </c>
      <c r="H164" s="1">
        <f t="shared" si="12"/>
        <v>13.228756555322953</v>
      </c>
      <c r="I164" s="1">
        <f t="shared" si="13"/>
        <v>5</v>
      </c>
      <c r="J164" s="1">
        <f t="shared" si="14"/>
        <v>19.246646461137068</v>
      </c>
      <c r="K164" s="1">
        <f t="shared" si="15"/>
        <v>4.5661800227323495</v>
      </c>
    </row>
    <row r="165" spans="1:11" x14ac:dyDescent="0.3">
      <c r="A165" s="8">
        <v>0</v>
      </c>
      <c r="B165" s="1">
        <v>100</v>
      </c>
      <c r="C165" s="1">
        <v>10</v>
      </c>
      <c r="D165" s="8">
        <v>256.2989</v>
      </c>
      <c r="E165" s="1">
        <v>17.399999999999999</v>
      </c>
      <c r="G165" s="1">
        <f t="shared" si="11"/>
        <v>0</v>
      </c>
      <c r="H165" s="1">
        <f t="shared" si="12"/>
        <v>10</v>
      </c>
      <c r="I165" s="1">
        <f t="shared" si="13"/>
        <v>3.1622776601683795</v>
      </c>
      <c r="J165" s="1">
        <f t="shared" si="14"/>
        <v>16.00933790011317</v>
      </c>
      <c r="K165" s="1">
        <f t="shared" si="15"/>
        <v>4.1713307229228418</v>
      </c>
    </row>
    <row r="166" spans="1:11" x14ac:dyDescent="0.3">
      <c r="A166" s="8">
        <v>6</v>
      </c>
      <c r="B166" s="1">
        <v>150</v>
      </c>
      <c r="C166" s="1">
        <v>5</v>
      </c>
      <c r="D166" s="8">
        <v>501.66980000000001</v>
      </c>
      <c r="E166" s="1">
        <v>5.5</v>
      </c>
      <c r="G166" s="1">
        <f t="shared" si="11"/>
        <v>2.4494897427831779</v>
      </c>
      <c r="H166" s="1">
        <f t="shared" si="12"/>
        <v>12.24744871391589</v>
      </c>
      <c r="I166" s="1">
        <f t="shared" si="13"/>
        <v>2.2360679774997898</v>
      </c>
      <c r="J166" s="1">
        <f t="shared" si="14"/>
        <v>22.397986516649215</v>
      </c>
      <c r="K166" s="1">
        <f t="shared" si="15"/>
        <v>2.3452078799117149</v>
      </c>
    </row>
    <row r="167" spans="1:11" x14ac:dyDescent="0.3">
      <c r="A167" s="8">
        <v>6</v>
      </c>
      <c r="B167" s="1">
        <v>100</v>
      </c>
      <c r="C167" s="1">
        <v>20</v>
      </c>
      <c r="D167" s="8">
        <v>245.21100000000001</v>
      </c>
      <c r="E167" s="1">
        <v>1.34</v>
      </c>
      <c r="G167" s="1">
        <f t="shared" si="11"/>
        <v>2.4494897427831779</v>
      </c>
      <c r="H167" s="1">
        <f t="shared" si="12"/>
        <v>10</v>
      </c>
      <c r="I167" s="1">
        <f t="shared" si="13"/>
        <v>4.4721359549995796</v>
      </c>
      <c r="J167" s="1">
        <f t="shared" si="14"/>
        <v>15.659214539688765</v>
      </c>
      <c r="K167" s="1">
        <f t="shared" si="15"/>
        <v>1.1575836902790226</v>
      </c>
    </row>
    <row r="168" spans="1:11" x14ac:dyDescent="0.3">
      <c r="A168" s="8">
        <v>0</v>
      </c>
      <c r="B168" s="1">
        <v>150</v>
      </c>
      <c r="C168" s="1">
        <v>25</v>
      </c>
      <c r="D168" s="8">
        <v>496.99380000000002</v>
      </c>
      <c r="E168" s="1">
        <v>21.6</v>
      </c>
      <c r="G168" s="1">
        <f t="shared" si="11"/>
        <v>0</v>
      </c>
      <c r="H168" s="1">
        <f t="shared" si="12"/>
        <v>12.24744871391589</v>
      </c>
      <c r="I168" s="1">
        <f t="shared" si="13"/>
        <v>5</v>
      </c>
      <c r="J168" s="1">
        <f t="shared" si="14"/>
        <v>22.293357755170035</v>
      </c>
      <c r="K168" s="1">
        <f t="shared" si="15"/>
        <v>4.6475800154489004</v>
      </c>
    </row>
    <row r="169" spans="1:11" x14ac:dyDescent="0.3">
      <c r="A169" s="8">
        <v>6</v>
      </c>
      <c r="B169" s="1">
        <v>150</v>
      </c>
      <c r="C169" s="1">
        <v>10</v>
      </c>
      <c r="D169" s="8">
        <v>245.982</v>
      </c>
      <c r="E169" s="1">
        <v>2.375</v>
      </c>
      <c r="G169" s="1">
        <f t="shared" si="11"/>
        <v>2.4494897427831779</v>
      </c>
      <c r="H169" s="1">
        <f t="shared" si="12"/>
        <v>12.24744871391589</v>
      </c>
      <c r="I169" s="1">
        <f t="shared" si="13"/>
        <v>3.1622776601683795</v>
      </c>
      <c r="J169" s="1">
        <f t="shared" si="14"/>
        <v>15.683813311819291</v>
      </c>
      <c r="K169" s="1">
        <f t="shared" si="15"/>
        <v>1.541103500742244</v>
      </c>
    </row>
    <row r="170" spans="1:11" x14ac:dyDescent="0.3">
      <c r="A170" s="8">
        <v>0</v>
      </c>
      <c r="B170" s="1">
        <v>125</v>
      </c>
      <c r="C170" s="1">
        <v>10</v>
      </c>
      <c r="D170" s="8">
        <v>489.1336</v>
      </c>
      <c r="E170" s="1">
        <v>23.911999999999999</v>
      </c>
      <c r="G170" s="1">
        <f t="shared" si="11"/>
        <v>0</v>
      </c>
      <c r="H170" s="1">
        <f t="shared" si="12"/>
        <v>11.180339887498949</v>
      </c>
      <c r="I170" s="1">
        <f t="shared" si="13"/>
        <v>3.1622776601683795</v>
      </c>
      <c r="J170" s="1">
        <f t="shared" si="14"/>
        <v>22.116364981614858</v>
      </c>
      <c r="K170" s="1">
        <f t="shared" si="15"/>
        <v>4.8899897750404344</v>
      </c>
    </row>
    <row r="171" spans="1:11" x14ac:dyDescent="0.3">
      <c r="A171" s="8">
        <v>0</v>
      </c>
      <c r="B171" s="1">
        <v>175</v>
      </c>
      <c r="C171" s="1">
        <v>5</v>
      </c>
      <c r="D171" s="8">
        <v>513.08900000000006</v>
      </c>
      <c r="E171" s="1">
        <v>27.5</v>
      </c>
      <c r="G171" s="1">
        <f t="shared" si="11"/>
        <v>0</v>
      </c>
      <c r="H171" s="1">
        <f t="shared" si="12"/>
        <v>13.228756555322953</v>
      </c>
      <c r="I171" s="1">
        <f t="shared" si="13"/>
        <v>2.2360679774997898</v>
      </c>
      <c r="J171" s="1">
        <f t="shared" si="14"/>
        <v>22.651467943601361</v>
      </c>
      <c r="K171" s="1">
        <f t="shared" si="15"/>
        <v>5.2440442408507577</v>
      </c>
    </row>
    <row r="172" spans="1:11" x14ac:dyDescent="0.3">
      <c r="A172" s="8">
        <v>0</v>
      </c>
      <c r="B172" s="1">
        <v>175</v>
      </c>
      <c r="C172" s="1">
        <v>20</v>
      </c>
      <c r="D172" s="8">
        <v>348.30610000000001</v>
      </c>
      <c r="E172" s="1">
        <v>21.65</v>
      </c>
      <c r="G172" s="1">
        <f t="shared" si="11"/>
        <v>0</v>
      </c>
      <c r="H172" s="1">
        <f t="shared" si="12"/>
        <v>13.228756555322953</v>
      </c>
      <c r="I172" s="1">
        <f t="shared" si="13"/>
        <v>4.4721359549995796</v>
      </c>
      <c r="J172" s="1">
        <f t="shared" si="14"/>
        <v>18.662960644013587</v>
      </c>
      <c r="K172" s="1">
        <f t="shared" si="15"/>
        <v>4.6529560496527367</v>
      </c>
    </row>
    <row r="173" spans="1:11" x14ac:dyDescent="0.3">
      <c r="A173" s="8">
        <v>3</v>
      </c>
      <c r="B173" s="1">
        <v>100</v>
      </c>
      <c r="C173" s="1">
        <v>5</v>
      </c>
      <c r="D173" s="8">
        <v>358.8254</v>
      </c>
      <c r="E173" s="1">
        <v>7.2</v>
      </c>
      <c r="G173" s="1">
        <f t="shared" si="11"/>
        <v>1.7320508075688772</v>
      </c>
      <c r="H173" s="1">
        <f t="shared" si="12"/>
        <v>10</v>
      </c>
      <c r="I173" s="1">
        <f t="shared" si="13"/>
        <v>2.2360679774997898</v>
      </c>
      <c r="J173" s="1">
        <f t="shared" si="14"/>
        <v>18.942687243366503</v>
      </c>
      <c r="K173" s="1">
        <f t="shared" si="15"/>
        <v>2.6832815729997477</v>
      </c>
    </row>
    <row r="174" spans="1:11" x14ac:dyDescent="0.3">
      <c r="A174" s="8">
        <v>3</v>
      </c>
      <c r="B174" s="1">
        <v>125</v>
      </c>
      <c r="C174" s="1">
        <v>5</v>
      </c>
      <c r="D174" s="8">
        <v>512.25070000000005</v>
      </c>
      <c r="E174" s="1">
        <v>8.5790000000000006</v>
      </c>
      <c r="G174" s="1">
        <f t="shared" si="11"/>
        <v>1.7320508075688772</v>
      </c>
      <c r="H174" s="1">
        <f t="shared" si="12"/>
        <v>11.180339887498949</v>
      </c>
      <c r="I174" s="1">
        <f t="shared" si="13"/>
        <v>2.2360679774997898</v>
      </c>
      <c r="J174" s="1">
        <f t="shared" si="14"/>
        <v>22.632956059693132</v>
      </c>
      <c r="K174" s="1">
        <f t="shared" si="15"/>
        <v>2.9289930010158782</v>
      </c>
    </row>
    <row r="175" spans="1:11" x14ac:dyDescent="0.3">
      <c r="A175" s="8">
        <v>6</v>
      </c>
      <c r="B175" s="1">
        <v>200</v>
      </c>
      <c r="C175" s="1">
        <v>25</v>
      </c>
      <c r="D175" s="8">
        <v>251.9974</v>
      </c>
      <c r="E175" s="1">
        <v>2.06</v>
      </c>
      <c r="G175" s="1">
        <f t="shared" si="11"/>
        <v>2.4494897427831779</v>
      </c>
      <c r="H175" s="1">
        <f t="shared" si="12"/>
        <v>14.142135623730951</v>
      </c>
      <c r="I175" s="1">
        <f t="shared" si="13"/>
        <v>5</v>
      </c>
      <c r="J175" s="1">
        <f t="shared" si="14"/>
        <v>15.874425973873826</v>
      </c>
      <c r="K175" s="1">
        <f t="shared" si="15"/>
        <v>1.4352700094407325</v>
      </c>
    </row>
    <row r="176" spans="1:11" x14ac:dyDescent="0.3">
      <c r="A176" s="8">
        <v>6</v>
      </c>
      <c r="B176" s="1">
        <v>175</v>
      </c>
      <c r="C176" s="1">
        <v>5</v>
      </c>
      <c r="D176" s="8">
        <v>493.60509999999999</v>
      </c>
      <c r="E176" s="1">
        <v>5.6749999999999998</v>
      </c>
      <c r="G176" s="1">
        <f t="shared" si="11"/>
        <v>2.4494897427831779</v>
      </c>
      <c r="H176" s="1">
        <f t="shared" si="12"/>
        <v>13.228756555322953</v>
      </c>
      <c r="I176" s="1">
        <f t="shared" si="13"/>
        <v>2.2360679774997898</v>
      </c>
      <c r="J176" s="1">
        <f t="shared" si="14"/>
        <v>22.217225299303241</v>
      </c>
      <c r="K176" s="1">
        <f t="shared" si="15"/>
        <v>2.382225849914319</v>
      </c>
    </row>
    <row r="177" spans="1:11" x14ac:dyDescent="0.3">
      <c r="A177" s="8">
        <v>3</v>
      </c>
      <c r="B177" s="1">
        <v>100</v>
      </c>
      <c r="C177" s="1">
        <v>25</v>
      </c>
      <c r="D177" s="8">
        <v>248.7578</v>
      </c>
      <c r="E177" s="1">
        <v>4.45</v>
      </c>
      <c r="G177" s="1">
        <f t="shared" si="11"/>
        <v>1.7320508075688772</v>
      </c>
      <c r="H177" s="1">
        <f t="shared" si="12"/>
        <v>10</v>
      </c>
      <c r="I177" s="1">
        <f t="shared" si="13"/>
        <v>5</v>
      </c>
      <c r="J177" s="1">
        <f t="shared" si="14"/>
        <v>15.772057570272814</v>
      </c>
      <c r="K177" s="1">
        <f t="shared" si="15"/>
        <v>2.1095023109728985</v>
      </c>
    </row>
    <row r="178" spans="1:11" x14ac:dyDescent="0.3">
      <c r="A178" s="8">
        <v>3</v>
      </c>
      <c r="B178" s="1">
        <v>200</v>
      </c>
      <c r="C178" s="1">
        <v>5</v>
      </c>
      <c r="D178" s="8">
        <v>486.52780000000001</v>
      </c>
      <c r="E178" s="1">
        <v>9.25</v>
      </c>
      <c r="G178" s="1">
        <f t="shared" si="11"/>
        <v>1.7320508075688772</v>
      </c>
      <c r="H178" s="1">
        <f t="shared" si="12"/>
        <v>14.142135623730951</v>
      </c>
      <c r="I178" s="1">
        <f t="shared" si="13"/>
        <v>2.2360679774997898</v>
      </c>
      <c r="J178" s="1">
        <f t="shared" si="14"/>
        <v>22.057375183824572</v>
      </c>
      <c r="K178" s="1">
        <f t="shared" si="15"/>
        <v>3.0413812651491097</v>
      </c>
    </row>
    <row r="179" spans="1:11" x14ac:dyDescent="0.3">
      <c r="A179" s="8">
        <v>0</v>
      </c>
      <c r="B179" s="1">
        <v>125</v>
      </c>
      <c r="C179" s="1">
        <v>15</v>
      </c>
      <c r="D179" s="8">
        <v>380.06270000000001</v>
      </c>
      <c r="E179" s="1">
        <v>21.05</v>
      </c>
      <c r="G179" s="1">
        <f t="shared" si="11"/>
        <v>0</v>
      </c>
      <c r="H179" s="1">
        <f t="shared" si="12"/>
        <v>11.180339887498949</v>
      </c>
      <c r="I179" s="1">
        <f t="shared" si="13"/>
        <v>3.872983346207417</v>
      </c>
      <c r="J179" s="1">
        <f t="shared" si="14"/>
        <v>19.495196844351174</v>
      </c>
      <c r="K179" s="1">
        <f t="shared" si="15"/>
        <v>4.5880278987817853</v>
      </c>
    </row>
    <row r="180" spans="1:11" x14ac:dyDescent="0.3">
      <c r="A180" s="8">
        <v>3</v>
      </c>
      <c r="B180" s="1">
        <v>125</v>
      </c>
      <c r="C180" s="1">
        <v>10</v>
      </c>
      <c r="D180" s="8">
        <v>243.2303</v>
      </c>
      <c r="E180" s="1">
        <v>5.3250000000000002</v>
      </c>
      <c r="G180" s="1">
        <f t="shared" si="11"/>
        <v>1.7320508075688772</v>
      </c>
      <c r="H180" s="1">
        <f t="shared" si="12"/>
        <v>11.180339887498949</v>
      </c>
      <c r="I180" s="1">
        <f t="shared" si="13"/>
        <v>3.1622776601683795</v>
      </c>
      <c r="J180" s="1">
        <f t="shared" si="14"/>
        <v>15.595842394689683</v>
      </c>
      <c r="K180" s="1">
        <f t="shared" si="15"/>
        <v>2.3075961518428652</v>
      </c>
    </row>
    <row r="181" spans="1:11" x14ac:dyDescent="0.3">
      <c r="A181" s="8">
        <v>0</v>
      </c>
      <c r="B181" s="1">
        <v>200</v>
      </c>
      <c r="C181" s="1">
        <v>10</v>
      </c>
      <c r="D181" s="8">
        <v>367.19310000000002</v>
      </c>
      <c r="E181" s="1">
        <v>24.486999999999998</v>
      </c>
      <c r="G181" s="1">
        <f t="shared" si="11"/>
        <v>0</v>
      </c>
      <c r="H181" s="1">
        <f t="shared" si="12"/>
        <v>14.142135623730951</v>
      </c>
      <c r="I181" s="1">
        <f t="shared" si="13"/>
        <v>3.1622776601683795</v>
      </c>
      <c r="J181" s="1">
        <f t="shared" si="14"/>
        <v>19.162283266876106</v>
      </c>
      <c r="K181" s="1">
        <f t="shared" si="15"/>
        <v>4.9484340957519075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E046-6ECB-4CCA-9327-9936DB9EB695}">
  <dimension ref="A1:E46"/>
  <sheetViews>
    <sheetView tabSelected="1" topLeftCell="A18" workbookViewId="0">
      <selection sqref="A1:E46"/>
    </sheetView>
  </sheetViews>
  <sheetFormatPr defaultRowHeight="14.4" x14ac:dyDescent="0.3"/>
  <sheetData>
    <row r="1" spans="1:5" x14ac:dyDescent="0.3">
      <c r="A1" t="s">
        <v>30</v>
      </c>
      <c r="B1" t="s">
        <v>0</v>
      </c>
      <c r="C1" t="s">
        <v>1</v>
      </c>
      <c r="D1" t="s">
        <v>31</v>
      </c>
      <c r="E1" t="s">
        <v>2</v>
      </c>
    </row>
    <row r="2" spans="1:5" x14ac:dyDescent="0.3">
      <c r="A2">
        <v>0</v>
      </c>
      <c r="B2">
        <v>100</v>
      </c>
      <c r="C2">
        <v>15</v>
      </c>
      <c r="D2">
        <v>244.96610000000001</v>
      </c>
      <c r="E2">
        <v>16.399999999999999</v>
      </c>
    </row>
    <row r="3" spans="1:5" x14ac:dyDescent="0.3">
      <c r="A3">
        <v>0</v>
      </c>
      <c r="B3">
        <v>125</v>
      </c>
      <c r="C3">
        <v>25</v>
      </c>
      <c r="D3">
        <v>245.06020000000001</v>
      </c>
      <c r="E3">
        <v>15.85</v>
      </c>
    </row>
    <row r="4" spans="1:5" x14ac:dyDescent="0.3">
      <c r="A4">
        <v>0</v>
      </c>
      <c r="B4">
        <v>150</v>
      </c>
      <c r="C4">
        <v>10</v>
      </c>
      <c r="D4">
        <v>242.66370000000001</v>
      </c>
      <c r="E4">
        <v>19.5</v>
      </c>
    </row>
    <row r="5" spans="1:5" x14ac:dyDescent="0.3">
      <c r="A5">
        <v>0</v>
      </c>
      <c r="B5">
        <v>150</v>
      </c>
      <c r="C5">
        <v>25</v>
      </c>
      <c r="D5">
        <v>250.3329</v>
      </c>
      <c r="E5">
        <v>17</v>
      </c>
    </row>
    <row r="6" spans="1:5" x14ac:dyDescent="0.3">
      <c r="A6">
        <v>0</v>
      </c>
      <c r="B6">
        <v>175</v>
      </c>
      <c r="C6">
        <v>15</v>
      </c>
      <c r="D6">
        <v>247.68369999999999</v>
      </c>
      <c r="E6">
        <v>20.04</v>
      </c>
    </row>
    <row r="7" spans="1:5" x14ac:dyDescent="0.3">
      <c r="A7">
        <v>0</v>
      </c>
      <c r="B7">
        <v>175</v>
      </c>
      <c r="C7">
        <v>20</v>
      </c>
      <c r="D7">
        <v>240.2149</v>
      </c>
      <c r="E7">
        <v>18.84</v>
      </c>
    </row>
    <row r="8" spans="1:5" x14ac:dyDescent="0.3">
      <c r="A8">
        <v>0</v>
      </c>
      <c r="B8">
        <v>100</v>
      </c>
      <c r="C8">
        <v>15</v>
      </c>
      <c r="D8">
        <v>373.6087</v>
      </c>
      <c r="E8">
        <v>18.68</v>
      </c>
    </row>
    <row r="9" spans="1:5" x14ac:dyDescent="0.3">
      <c r="A9">
        <v>0</v>
      </c>
      <c r="B9">
        <v>100</v>
      </c>
      <c r="C9">
        <v>20</v>
      </c>
      <c r="D9">
        <v>362.27249999999998</v>
      </c>
      <c r="E9">
        <v>17.3</v>
      </c>
    </row>
    <row r="10" spans="1:5" x14ac:dyDescent="0.3">
      <c r="A10">
        <v>0</v>
      </c>
      <c r="B10">
        <v>125</v>
      </c>
      <c r="C10">
        <v>5</v>
      </c>
      <c r="D10">
        <v>363.93540000000002</v>
      </c>
      <c r="E10">
        <v>21.95</v>
      </c>
    </row>
    <row r="11" spans="1:5" x14ac:dyDescent="0.3">
      <c r="A11">
        <v>0</v>
      </c>
      <c r="B11">
        <v>150</v>
      </c>
      <c r="C11">
        <v>10</v>
      </c>
      <c r="D11">
        <v>376.78250000000003</v>
      </c>
      <c r="E11">
        <v>22.88</v>
      </c>
    </row>
    <row r="12" spans="1:5" x14ac:dyDescent="0.3">
      <c r="A12">
        <v>0</v>
      </c>
      <c r="B12">
        <v>125</v>
      </c>
      <c r="C12">
        <v>15</v>
      </c>
      <c r="D12">
        <v>495.88650000000001</v>
      </c>
      <c r="E12">
        <v>22.318000000000001</v>
      </c>
    </row>
    <row r="13" spans="1:5" x14ac:dyDescent="0.3">
      <c r="A13">
        <v>0</v>
      </c>
      <c r="B13">
        <v>150</v>
      </c>
      <c r="C13">
        <v>5</v>
      </c>
      <c r="D13">
        <v>503.56150000000002</v>
      </c>
      <c r="E13">
        <v>26</v>
      </c>
    </row>
    <row r="14" spans="1:5" x14ac:dyDescent="0.3">
      <c r="A14">
        <v>0</v>
      </c>
      <c r="B14">
        <v>200</v>
      </c>
      <c r="C14">
        <v>15</v>
      </c>
      <c r="D14">
        <v>502.90089999999998</v>
      </c>
      <c r="E14">
        <v>26.788</v>
      </c>
    </row>
    <row r="15" spans="1:5" x14ac:dyDescent="0.3">
      <c r="A15">
        <v>3</v>
      </c>
      <c r="B15">
        <v>125</v>
      </c>
      <c r="C15">
        <v>20</v>
      </c>
      <c r="D15">
        <v>246.99369999999999</v>
      </c>
      <c r="E15">
        <v>4.8499999999999996</v>
      </c>
    </row>
    <row r="16" spans="1:5" x14ac:dyDescent="0.3">
      <c r="A16">
        <v>3</v>
      </c>
      <c r="B16">
        <v>150</v>
      </c>
      <c r="C16">
        <v>15</v>
      </c>
      <c r="D16">
        <v>250.06379999999999</v>
      </c>
      <c r="E16">
        <v>5.25</v>
      </c>
    </row>
    <row r="17" spans="1:5" x14ac:dyDescent="0.3">
      <c r="A17">
        <v>3</v>
      </c>
      <c r="B17">
        <v>100</v>
      </c>
      <c r="C17">
        <v>25</v>
      </c>
      <c r="D17">
        <v>368.14139999999998</v>
      </c>
      <c r="E17">
        <v>5.0999999999999996</v>
      </c>
    </row>
    <row r="18" spans="1:5" x14ac:dyDescent="0.3">
      <c r="A18">
        <v>3</v>
      </c>
      <c r="B18">
        <v>125</v>
      </c>
      <c r="C18">
        <v>15</v>
      </c>
      <c r="D18">
        <v>367.21539999999999</v>
      </c>
      <c r="E18">
        <v>5.7</v>
      </c>
    </row>
    <row r="19" spans="1:5" x14ac:dyDescent="0.3">
      <c r="A19">
        <v>3</v>
      </c>
      <c r="B19">
        <v>150</v>
      </c>
      <c r="C19">
        <v>5</v>
      </c>
      <c r="D19">
        <v>368.28289999999998</v>
      </c>
      <c r="E19">
        <v>8</v>
      </c>
    </row>
    <row r="20" spans="1:5" x14ac:dyDescent="0.3">
      <c r="A20">
        <v>3</v>
      </c>
      <c r="B20">
        <v>200</v>
      </c>
      <c r="C20">
        <v>15</v>
      </c>
      <c r="D20">
        <v>363.37240000000003</v>
      </c>
      <c r="E20">
        <v>6.45</v>
      </c>
    </row>
    <row r="21" spans="1:5" x14ac:dyDescent="0.3">
      <c r="A21">
        <v>3</v>
      </c>
      <c r="B21">
        <v>200</v>
      </c>
      <c r="C21">
        <v>20</v>
      </c>
      <c r="D21">
        <v>371.97300000000001</v>
      </c>
      <c r="E21">
        <v>6.173</v>
      </c>
    </row>
    <row r="22" spans="1:5" x14ac:dyDescent="0.3">
      <c r="A22">
        <v>3</v>
      </c>
      <c r="B22">
        <v>200</v>
      </c>
      <c r="C22">
        <v>25</v>
      </c>
      <c r="D22">
        <v>377.166</v>
      </c>
      <c r="E22">
        <v>6.0860000000000003</v>
      </c>
    </row>
    <row r="23" spans="1:5" x14ac:dyDescent="0.3">
      <c r="A23">
        <v>3</v>
      </c>
      <c r="B23">
        <v>100</v>
      </c>
      <c r="C23">
        <v>15</v>
      </c>
      <c r="D23">
        <v>507.17270000000002</v>
      </c>
      <c r="E23">
        <v>5.95</v>
      </c>
    </row>
    <row r="24" spans="1:5" x14ac:dyDescent="0.3">
      <c r="A24">
        <v>3</v>
      </c>
      <c r="B24">
        <v>100</v>
      </c>
      <c r="C24">
        <v>20</v>
      </c>
      <c r="D24">
        <v>488.01780000000002</v>
      </c>
      <c r="E24">
        <v>5.7</v>
      </c>
    </row>
    <row r="25" spans="1:5" x14ac:dyDescent="0.3">
      <c r="A25">
        <v>3</v>
      </c>
      <c r="B25">
        <v>200</v>
      </c>
      <c r="C25">
        <v>15</v>
      </c>
      <c r="D25">
        <v>498.54660000000001</v>
      </c>
      <c r="E25">
        <v>7.15</v>
      </c>
    </row>
    <row r="26" spans="1:5" x14ac:dyDescent="0.3">
      <c r="A26">
        <v>6</v>
      </c>
      <c r="B26">
        <v>125</v>
      </c>
      <c r="C26">
        <v>5</v>
      </c>
      <c r="D26">
        <v>250.8527</v>
      </c>
      <c r="E26">
        <v>3.45</v>
      </c>
    </row>
    <row r="27" spans="1:5" x14ac:dyDescent="0.3">
      <c r="A27">
        <v>6</v>
      </c>
      <c r="B27">
        <v>125</v>
      </c>
      <c r="C27">
        <v>10</v>
      </c>
      <c r="D27">
        <v>242.32429999999999</v>
      </c>
      <c r="E27">
        <v>2.0830000000000002</v>
      </c>
    </row>
    <row r="28" spans="1:5" x14ac:dyDescent="0.3">
      <c r="A28">
        <v>6</v>
      </c>
      <c r="B28">
        <v>125</v>
      </c>
      <c r="C28">
        <v>15</v>
      </c>
      <c r="D28">
        <v>249.60429999999999</v>
      </c>
      <c r="E28">
        <v>1.79</v>
      </c>
    </row>
    <row r="29" spans="1:5" x14ac:dyDescent="0.3">
      <c r="A29">
        <v>6</v>
      </c>
      <c r="B29">
        <v>125</v>
      </c>
      <c r="C29">
        <v>25</v>
      </c>
      <c r="D29">
        <v>249.22049999999999</v>
      </c>
      <c r="E29">
        <v>1.5649999999999999</v>
      </c>
    </row>
    <row r="30" spans="1:5" x14ac:dyDescent="0.3">
      <c r="A30">
        <v>6</v>
      </c>
      <c r="B30">
        <v>175</v>
      </c>
      <c r="C30">
        <v>15</v>
      </c>
      <c r="D30">
        <v>246.1369</v>
      </c>
      <c r="E30">
        <v>2.15</v>
      </c>
    </row>
    <row r="31" spans="1:5" x14ac:dyDescent="0.3">
      <c r="A31">
        <v>6</v>
      </c>
      <c r="B31">
        <v>200</v>
      </c>
      <c r="C31">
        <v>5</v>
      </c>
      <c r="D31">
        <v>244.54060000000001</v>
      </c>
      <c r="E31">
        <v>3.95</v>
      </c>
    </row>
    <row r="32" spans="1:5" x14ac:dyDescent="0.3">
      <c r="A32">
        <v>6</v>
      </c>
      <c r="B32">
        <v>200</v>
      </c>
      <c r="C32">
        <v>10</v>
      </c>
      <c r="D32">
        <v>243.1388</v>
      </c>
      <c r="E32">
        <v>2.75</v>
      </c>
    </row>
    <row r="33" spans="1:5" x14ac:dyDescent="0.3">
      <c r="A33">
        <v>6</v>
      </c>
      <c r="B33">
        <v>200</v>
      </c>
      <c r="C33">
        <v>20</v>
      </c>
      <c r="D33">
        <v>243.3622</v>
      </c>
      <c r="E33">
        <v>2.15</v>
      </c>
    </row>
    <row r="34" spans="1:5" x14ac:dyDescent="0.3">
      <c r="A34">
        <v>6</v>
      </c>
      <c r="B34">
        <v>100</v>
      </c>
      <c r="C34">
        <v>5</v>
      </c>
      <c r="D34">
        <v>356.64269999999999</v>
      </c>
      <c r="E34">
        <v>4</v>
      </c>
    </row>
    <row r="35" spans="1:5" x14ac:dyDescent="0.3">
      <c r="A35">
        <v>6</v>
      </c>
      <c r="B35">
        <v>100</v>
      </c>
      <c r="C35">
        <v>10</v>
      </c>
      <c r="D35">
        <v>361.43009999999998</v>
      </c>
      <c r="E35">
        <v>2.5</v>
      </c>
    </row>
    <row r="36" spans="1:5" x14ac:dyDescent="0.3">
      <c r="A36">
        <v>6</v>
      </c>
      <c r="B36">
        <v>100</v>
      </c>
      <c r="C36">
        <v>25</v>
      </c>
      <c r="D36">
        <v>364.81610000000001</v>
      </c>
      <c r="E36">
        <v>1.85</v>
      </c>
    </row>
    <row r="37" spans="1:5" x14ac:dyDescent="0.3">
      <c r="A37">
        <v>6</v>
      </c>
      <c r="B37">
        <v>125</v>
      </c>
      <c r="C37">
        <v>5</v>
      </c>
      <c r="D37">
        <v>368.73110000000003</v>
      </c>
      <c r="E37">
        <v>4.4000000000000004</v>
      </c>
    </row>
    <row r="38" spans="1:5" x14ac:dyDescent="0.3">
      <c r="A38">
        <v>6</v>
      </c>
      <c r="B38">
        <v>125</v>
      </c>
      <c r="C38">
        <v>10</v>
      </c>
      <c r="D38">
        <v>380.75979999999998</v>
      </c>
      <c r="E38">
        <v>3</v>
      </c>
    </row>
    <row r="39" spans="1:5" x14ac:dyDescent="0.3">
      <c r="A39">
        <v>6</v>
      </c>
      <c r="B39">
        <v>125</v>
      </c>
      <c r="C39">
        <v>15</v>
      </c>
      <c r="D39">
        <v>375.77080000000001</v>
      </c>
      <c r="E39">
        <v>2.4540000000000002</v>
      </c>
    </row>
    <row r="40" spans="1:5" x14ac:dyDescent="0.3">
      <c r="A40">
        <v>6</v>
      </c>
      <c r="B40">
        <v>150</v>
      </c>
      <c r="C40">
        <v>20</v>
      </c>
      <c r="D40">
        <v>375.62729999999999</v>
      </c>
      <c r="E40">
        <v>2.5499999999999998</v>
      </c>
    </row>
    <row r="41" spans="1:5" x14ac:dyDescent="0.3">
      <c r="A41">
        <v>6</v>
      </c>
      <c r="B41">
        <v>200</v>
      </c>
      <c r="C41">
        <v>15</v>
      </c>
      <c r="D41">
        <v>360.94650000000001</v>
      </c>
      <c r="E41">
        <v>3.1</v>
      </c>
    </row>
    <row r="42" spans="1:5" x14ac:dyDescent="0.3">
      <c r="A42">
        <v>6</v>
      </c>
      <c r="B42">
        <v>200</v>
      </c>
      <c r="C42">
        <v>20</v>
      </c>
      <c r="D42">
        <v>363.63580000000002</v>
      </c>
      <c r="E42">
        <v>2.8889999999999998</v>
      </c>
    </row>
    <row r="43" spans="1:5" x14ac:dyDescent="0.3">
      <c r="A43">
        <v>6</v>
      </c>
      <c r="B43">
        <v>200</v>
      </c>
      <c r="C43">
        <v>25</v>
      </c>
      <c r="D43">
        <v>378.37900000000002</v>
      </c>
      <c r="E43">
        <v>2.75</v>
      </c>
    </row>
    <row r="44" spans="1:5" x14ac:dyDescent="0.3">
      <c r="A44">
        <v>6</v>
      </c>
      <c r="B44">
        <v>100</v>
      </c>
      <c r="C44">
        <v>10</v>
      </c>
      <c r="D44">
        <v>509.71280000000002</v>
      </c>
      <c r="E44">
        <v>3.2629999999999999</v>
      </c>
    </row>
    <row r="45" spans="1:5" x14ac:dyDescent="0.3">
      <c r="A45">
        <v>6</v>
      </c>
      <c r="B45">
        <v>125</v>
      </c>
      <c r="C45">
        <v>15</v>
      </c>
      <c r="D45">
        <v>503.16730000000001</v>
      </c>
      <c r="E45">
        <v>3.0150000000000001</v>
      </c>
    </row>
    <row r="46" spans="1:5" x14ac:dyDescent="0.3">
      <c r="A46">
        <v>6</v>
      </c>
      <c r="B46">
        <v>200</v>
      </c>
      <c r="C46">
        <v>5</v>
      </c>
      <c r="D46">
        <v>488.47539999999998</v>
      </c>
      <c r="E46">
        <v>5.8179999999999996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CUSUM VWAB Modeling TRAIN Data</vt:lpstr>
      <vt:lpstr>CUSUM VWAB TEST DATA</vt:lpstr>
      <vt:lpstr>CUSUM VWM Modeling TRAIN Data</vt:lpstr>
      <vt:lpstr>CUSUM VWM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</dc:creator>
  <cp:lastModifiedBy>Saurabh</cp:lastModifiedBy>
  <dcterms:created xsi:type="dcterms:W3CDTF">2024-04-11T14:32:31Z</dcterms:created>
  <dcterms:modified xsi:type="dcterms:W3CDTF">2024-08-22T06:46:48Z</dcterms:modified>
</cp:coreProperties>
</file>