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bh\Desktop\PHD\Current Work\"/>
    </mc:Choice>
  </mc:AlternateContent>
  <xr:revisionPtr revIDLastSave="0" documentId="13_ncr:1_{6470FC9A-3146-490C-BACA-A41C3921EAEC}" xr6:coauthVersionLast="47" xr6:coauthVersionMax="47" xr10:uidLastSave="{00000000-0000-0000-0000-000000000000}"/>
  <bookViews>
    <workbookView xWindow="-108" yWindow="-108" windowWidth="23256" windowHeight="12576" activeTab="3" xr2:uid="{8D6D4BD3-25A0-48A3-8B1D-B41699C3CF6F}"/>
  </bookViews>
  <sheets>
    <sheet name="VWAB Modeling Data" sheetId="5" r:id="rId1"/>
    <sheet name="VWM Modeling Data" sheetId="4" r:id="rId2"/>
    <sheet name="Sheet1" sheetId="6" r:id="rId3"/>
    <sheet name="H for VWAB with ARL0" sheetId="2" r:id="rId4"/>
    <sheet name="H for VWM with ARL0" sheetId="3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9" i="2" l="1"/>
  <c r="W24" i="2" s="1"/>
  <c r="AC4" i="2"/>
  <c r="AC5" i="2"/>
  <c r="AC6" i="2"/>
  <c r="AC7" i="2"/>
  <c r="AC3" i="2"/>
  <c r="W18" i="2"/>
  <c r="W23" i="2"/>
  <c r="W9" i="2"/>
  <c r="W10" i="2"/>
  <c r="W11" i="2"/>
  <c r="W12" i="2"/>
  <c r="W8" i="2"/>
  <c r="T4" i="2"/>
  <c r="T3" i="2"/>
  <c r="R22" i="2"/>
  <c r="P18" i="2"/>
  <c r="R20" i="2"/>
  <c r="R25" i="2" s="1"/>
  <c r="R24" i="2"/>
  <c r="R18" i="2"/>
  <c r="R19" i="2"/>
  <c r="P20" i="2"/>
  <c r="R21" i="2"/>
  <c r="P22" i="2"/>
  <c r="R13" i="2"/>
  <c r="P17" i="2"/>
  <c r="P13" i="2"/>
  <c r="R8" i="2"/>
  <c r="R16" i="2"/>
  <c r="P12" i="2"/>
  <c r="P11" i="2"/>
  <c r="P8" i="2"/>
  <c r="P4" i="2"/>
  <c r="P5" i="2" s="1"/>
  <c r="P6" i="2" s="1"/>
  <c r="P7" i="2" s="1"/>
  <c r="I4" i="2"/>
  <c r="I5" i="2"/>
  <c r="I6" i="2"/>
  <c r="I7" i="2"/>
  <c r="I3" i="2"/>
  <c r="I4" i="3"/>
  <c r="I5" i="3"/>
  <c r="I6" i="3"/>
  <c r="I7" i="3"/>
  <c r="I3" i="3"/>
  <c r="F3" i="5"/>
  <c r="G3" i="5"/>
  <c r="H3" i="5"/>
  <c r="I3" i="5"/>
  <c r="F4" i="5"/>
  <c r="G4" i="5"/>
  <c r="H4" i="5"/>
  <c r="I4" i="5"/>
  <c r="F5" i="5"/>
  <c r="G5" i="5"/>
  <c r="H5" i="5"/>
  <c r="I5" i="5"/>
  <c r="F6" i="5"/>
  <c r="G6" i="5"/>
  <c r="H6" i="5"/>
  <c r="I6" i="5"/>
  <c r="F7" i="5"/>
  <c r="G7" i="5"/>
  <c r="H7" i="5"/>
  <c r="I7" i="5"/>
  <c r="F8" i="5"/>
  <c r="G8" i="5"/>
  <c r="H8" i="5"/>
  <c r="I8" i="5"/>
  <c r="F9" i="5"/>
  <c r="G9" i="5"/>
  <c r="H9" i="5"/>
  <c r="I9" i="5"/>
  <c r="F10" i="5"/>
  <c r="G10" i="5"/>
  <c r="H10" i="5"/>
  <c r="I10" i="5"/>
  <c r="F11" i="5"/>
  <c r="G11" i="5"/>
  <c r="H11" i="5"/>
  <c r="I11" i="5"/>
  <c r="F12" i="5"/>
  <c r="G12" i="5"/>
  <c r="H12" i="5"/>
  <c r="I12" i="5"/>
  <c r="F13" i="5"/>
  <c r="G13" i="5"/>
  <c r="H13" i="5"/>
  <c r="I13" i="5"/>
  <c r="F14" i="5"/>
  <c r="G14" i="5"/>
  <c r="H14" i="5"/>
  <c r="I14" i="5"/>
  <c r="F15" i="5"/>
  <c r="G15" i="5"/>
  <c r="H15" i="5"/>
  <c r="I15" i="5"/>
  <c r="F16" i="5"/>
  <c r="G16" i="5"/>
  <c r="H16" i="5"/>
  <c r="I16" i="5"/>
  <c r="F17" i="5"/>
  <c r="G17" i="5"/>
  <c r="H17" i="5"/>
  <c r="I17" i="5"/>
  <c r="F18" i="5"/>
  <c r="G18" i="5"/>
  <c r="H18" i="5"/>
  <c r="I18" i="5"/>
  <c r="F19" i="5"/>
  <c r="G19" i="5"/>
  <c r="H19" i="5"/>
  <c r="I19" i="5"/>
  <c r="F20" i="5"/>
  <c r="G20" i="5"/>
  <c r="H20" i="5"/>
  <c r="I20" i="5"/>
  <c r="F21" i="5"/>
  <c r="G21" i="5"/>
  <c r="H21" i="5"/>
  <c r="I21" i="5"/>
  <c r="F22" i="5"/>
  <c r="G22" i="5"/>
  <c r="H22" i="5"/>
  <c r="I22" i="5"/>
  <c r="F23" i="5"/>
  <c r="G23" i="5"/>
  <c r="H23" i="5"/>
  <c r="I23" i="5"/>
  <c r="F24" i="5"/>
  <c r="G24" i="5"/>
  <c r="H24" i="5"/>
  <c r="I24" i="5"/>
  <c r="F25" i="5"/>
  <c r="G25" i="5"/>
  <c r="H25" i="5"/>
  <c r="I25" i="5"/>
  <c r="F26" i="5"/>
  <c r="G26" i="5"/>
  <c r="H26" i="5"/>
  <c r="I26" i="5"/>
  <c r="F27" i="5"/>
  <c r="G27" i="5"/>
  <c r="H27" i="5"/>
  <c r="I27" i="5"/>
  <c r="F28" i="5"/>
  <c r="G28" i="5"/>
  <c r="H28" i="5"/>
  <c r="I28" i="5"/>
  <c r="F29" i="5"/>
  <c r="G29" i="5"/>
  <c r="H29" i="5"/>
  <c r="I29" i="5"/>
  <c r="F30" i="5"/>
  <c r="G30" i="5"/>
  <c r="H30" i="5"/>
  <c r="I30" i="5"/>
  <c r="F31" i="5"/>
  <c r="G31" i="5"/>
  <c r="H31" i="5"/>
  <c r="I31" i="5"/>
  <c r="F32" i="5"/>
  <c r="G32" i="5"/>
  <c r="H32" i="5"/>
  <c r="I32" i="5"/>
  <c r="F33" i="5"/>
  <c r="G33" i="5"/>
  <c r="H33" i="5"/>
  <c r="I33" i="5"/>
  <c r="F34" i="5"/>
  <c r="G34" i="5"/>
  <c r="H34" i="5"/>
  <c r="I34" i="5"/>
  <c r="F35" i="5"/>
  <c r="G35" i="5"/>
  <c r="H35" i="5"/>
  <c r="I35" i="5"/>
  <c r="F36" i="5"/>
  <c r="G36" i="5"/>
  <c r="H36" i="5"/>
  <c r="I36" i="5"/>
  <c r="F37" i="5"/>
  <c r="G37" i="5"/>
  <c r="H37" i="5"/>
  <c r="I37" i="5"/>
  <c r="F38" i="5"/>
  <c r="G38" i="5"/>
  <c r="H38" i="5"/>
  <c r="I38" i="5"/>
  <c r="F39" i="5"/>
  <c r="G39" i="5"/>
  <c r="H39" i="5"/>
  <c r="I39" i="5"/>
  <c r="F40" i="5"/>
  <c r="G40" i="5"/>
  <c r="H40" i="5"/>
  <c r="I40" i="5"/>
  <c r="F41" i="5"/>
  <c r="G41" i="5"/>
  <c r="H41" i="5"/>
  <c r="I41" i="5"/>
  <c r="F42" i="5"/>
  <c r="G42" i="5"/>
  <c r="H42" i="5"/>
  <c r="I42" i="5"/>
  <c r="F43" i="5"/>
  <c r="G43" i="5"/>
  <c r="H43" i="5"/>
  <c r="I43" i="5"/>
  <c r="F44" i="5"/>
  <c r="G44" i="5"/>
  <c r="H44" i="5"/>
  <c r="I44" i="5"/>
  <c r="F45" i="5"/>
  <c r="G45" i="5"/>
  <c r="H45" i="5"/>
  <c r="I45" i="5"/>
  <c r="F46" i="5"/>
  <c r="G46" i="5"/>
  <c r="H46" i="5"/>
  <c r="I46" i="5"/>
  <c r="F47" i="5"/>
  <c r="G47" i="5"/>
  <c r="H47" i="5"/>
  <c r="I47" i="5"/>
  <c r="F48" i="5"/>
  <c r="G48" i="5"/>
  <c r="H48" i="5"/>
  <c r="I48" i="5"/>
  <c r="F49" i="5"/>
  <c r="G49" i="5"/>
  <c r="H49" i="5"/>
  <c r="I49" i="5"/>
  <c r="F50" i="5"/>
  <c r="G50" i="5"/>
  <c r="H50" i="5"/>
  <c r="I50" i="5"/>
  <c r="F51" i="5"/>
  <c r="G51" i="5"/>
  <c r="H51" i="5"/>
  <c r="I51" i="5"/>
  <c r="F52" i="5"/>
  <c r="G52" i="5"/>
  <c r="H52" i="5"/>
  <c r="I52" i="5"/>
  <c r="F53" i="5"/>
  <c r="G53" i="5"/>
  <c r="H53" i="5"/>
  <c r="I53" i="5"/>
  <c r="F54" i="5"/>
  <c r="G54" i="5"/>
  <c r="H54" i="5"/>
  <c r="I54" i="5"/>
  <c r="F55" i="5"/>
  <c r="G55" i="5"/>
  <c r="H55" i="5"/>
  <c r="I55" i="5"/>
  <c r="F56" i="5"/>
  <c r="G56" i="5"/>
  <c r="H56" i="5"/>
  <c r="I56" i="5"/>
  <c r="F57" i="5"/>
  <c r="G57" i="5"/>
  <c r="H57" i="5"/>
  <c r="I57" i="5"/>
  <c r="F58" i="5"/>
  <c r="G58" i="5"/>
  <c r="H58" i="5"/>
  <c r="I58" i="5"/>
  <c r="F59" i="5"/>
  <c r="G59" i="5"/>
  <c r="H59" i="5"/>
  <c r="I59" i="5"/>
  <c r="F60" i="5"/>
  <c r="G60" i="5"/>
  <c r="H60" i="5"/>
  <c r="I60" i="5"/>
  <c r="F61" i="5"/>
  <c r="G61" i="5"/>
  <c r="H61" i="5"/>
  <c r="I61" i="5"/>
  <c r="F62" i="5"/>
  <c r="G62" i="5"/>
  <c r="H62" i="5"/>
  <c r="I62" i="5"/>
  <c r="F63" i="5"/>
  <c r="G63" i="5"/>
  <c r="H63" i="5"/>
  <c r="I63" i="5"/>
  <c r="F64" i="5"/>
  <c r="G64" i="5"/>
  <c r="H64" i="5"/>
  <c r="I64" i="5"/>
  <c r="F65" i="5"/>
  <c r="G65" i="5"/>
  <c r="H65" i="5"/>
  <c r="I65" i="5"/>
  <c r="F66" i="5"/>
  <c r="G66" i="5"/>
  <c r="H66" i="5"/>
  <c r="I66" i="5"/>
  <c r="F67" i="5"/>
  <c r="G67" i="5"/>
  <c r="H67" i="5"/>
  <c r="I67" i="5"/>
  <c r="F68" i="5"/>
  <c r="G68" i="5"/>
  <c r="H68" i="5"/>
  <c r="I68" i="5"/>
  <c r="F69" i="5"/>
  <c r="G69" i="5"/>
  <c r="H69" i="5"/>
  <c r="I69" i="5"/>
  <c r="F70" i="5"/>
  <c r="G70" i="5"/>
  <c r="H70" i="5"/>
  <c r="I70" i="5"/>
  <c r="F71" i="5"/>
  <c r="G71" i="5"/>
  <c r="H71" i="5"/>
  <c r="I71" i="5"/>
  <c r="F72" i="5"/>
  <c r="G72" i="5"/>
  <c r="H72" i="5"/>
  <c r="I72" i="5"/>
  <c r="F73" i="5"/>
  <c r="G73" i="5"/>
  <c r="H73" i="5"/>
  <c r="I73" i="5"/>
  <c r="F74" i="5"/>
  <c r="G74" i="5"/>
  <c r="H74" i="5"/>
  <c r="I74" i="5"/>
  <c r="F75" i="5"/>
  <c r="G75" i="5"/>
  <c r="H75" i="5"/>
  <c r="I75" i="5"/>
  <c r="F76" i="5"/>
  <c r="G76" i="5"/>
  <c r="H76" i="5"/>
  <c r="I76" i="5"/>
  <c r="I2" i="5"/>
  <c r="H2" i="5"/>
  <c r="G2" i="5"/>
  <c r="F2" i="5"/>
  <c r="F3" i="4"/>
  <c r="G3" i="4"/>
  <c r="H3" i="4"/>
  <c r="F4" i="4"/>
  <c r="G4" i="4"/>
  <c r="H4" i="4"/>
  <c r="F5" i="4"/>
  <c r="G5" i="4"/>
  <c r="H5" i="4"/>
  <c r="F6" i="4"/>
  <c r="G6" i="4"/>
  <c r="H6" i="4"/>
  <c r="F7" i="4"/>
  <c r="G7" i="4"/>
  <c r="H7" i="4"/>
  <c r="F8" i="4"/>
  <c r="G8" i="4"/>
  <c r="H8" i="4"/>
  <c r="F9" i="4"/>
  <c r="G9" i="4"/>
  <c r="H9" i="4"/>
  <c r="F10" i="4"/>
  <c r="G10" i="4"/>
  <c r="H10" i="4"/>
  <c r="F11" i="4"/>
  <c r="G11" i="4"/>
  <c r="H11" i="4"/>
  <c r="F12" i="4"/>
  <c r="G12" i="4"/>
  <c r="H12" i="4"/>
  <c r="F13" i="4"/>
  <c r="G13" i="4"/>
  <c r="H13" i="4"/>
  <c r="F14" i="4"/>
  <c r="G14" i="4"/>
  <c r="H14" i="4"/>
  <c r="F15" i="4"/>
  <c r="G15" i="4"/>
  <c r="H15" i="4"/>
  <c r="F16" i="4"/>
  <c r="G16" i="4"/>
  <c r="H16" i="4"/>
  <c r="F17" i="4"/>
  <c r="G17" i="4"/>
  <c r="H17" i="4"/>
  <c r="F18" i="4"/>
  <c r="G18" i="4"/>
  <c r="H18" i="4"/>
  <c r="F19" i="4"/>
  <c r="G19" i="4"/>
  <c r="H19" i="4"/>
  <c r="F20" i="4"/>
  <c r="G20" i="4"/>
  <c r="H20" i="4"/>
  <c r="F21" i="4"/>
  <c r="G21" i="4"/>
  <c r="H21" i="4"/>
  <c r="F22" i="4"/>
  <c r="G22" i="4"/>
  <c r="H22" i="4"/>
  <c r="F23" i="4"/>
  <c r="G23" i="4"/>
  <c r="H23" i="4"/>
  <c r="F24" i="4"/>
  <c r="G24" i="4"/>
  <c r="H24" i="4"/>
  <c r="F25" i="4"/>
  <c r="G25" i="4"/>
  <c r="H25" i="4"/>
  <c r="F26" i="4"/>
  <c r="G26" i="4"/>
  <c r="H26" i="4"/>
  <c r="F27" i="4"/>
  <c r="G27" i="4"/>
  <c r="H27" i="4"/>
  <c r="F28" i="4"/>
  <c r="G28" i="4"/>
  <c r="H28" i="4"/>
  <c r="F29" i="4"/>
  <c r="G29" i="4"/>
  <c r="H29" i="4"/>
  <c r="F30" i="4"/>
  <c r="G30" i="4"/>
  <c r="H30" i="4"/>
  <c r="F31" i="4"/>
  <c r="G31" i="4"/>
  <c r="H31" i="4"/>
  <c r="F32" i="4"/>
  <c r="G32" i="4"/>
  <c r="H32" i="4"/>
  <c r="F33" i="4"/>
  <c r="G33" i="4"/>
  <c r="H33" i="4"/>
  <c r="F34" i="4"/>
  <c r="G34" i="4"/>
  <c r="H34" i="4"/>
  <c r="F35" i="4"/>
  <c r="G35" i="4"/>
  <c r="H35" i="4"/>
  <c r="F36" i="4"/>
  <c r="G36" i="4"/>
  <c r="H36" i="4"/>
  <c r="F37" i="4"/>
  <c r="G37" i="4"/>
  <c r="H37" i="4"/>
  <c r="F38" i="4"/>
  <c r="G38" i="4"/>
  <c r="H38" i="4"/>
  <c r="F39" i="4"/>
  <c r="G39" i="4"/>
  <c r="H39" i="4"/>
  <c r="F40" i="4"/>
  <c r="G40" i="4"/>
  <c r="H40" i="4"/>
  <c r="F41" i="4"/>
  <c r="G41" i="4"/>
  <c r="H41" i="4"/>
  <c r="F42" i="4"/>
  <c r="G42" i="4"/>
  <c r="H42" i="4"/>
  <c r="F43" i="4"/>
  <c r="G43" i="4"/>
  <c r="H43" i="4"/>
  <c r="F44" i="4"/>
  <c r="G44" i="4"/>
  <c r="H44" i="4"/>
  <c r="F45" i="4"/>
  <c r="G45" i="4"/>
  <c r="H45" i="4"/>
  <c r="F46" i="4"/>
  <c r="G46" i="4"/>
  <c r="H46" i="4"/>
  <c r="F47" i="4"/>
  <c r="G47" i="4"/>
  <c r="H47" i="4"/>
  <c r="F48" i="4"/>
  <c r="G48" i="4"/>
  <c r="H48" i="4"/>
  <c r="F49" i="4"/>
  <c r="G49" i="4"/>
  <c r="H49" i="4"/>
  <c r="F50" i="4"/>
  <c r="G50" i="4"/>
  <c r="H50" i="4"/>
  <c r="F51" i="4"/>
  <c r="G51" i="4"/>
  <c r="H51" i="4"/>
  <c r="F52" i="4"/>
  <c r="G52" i="4"/>
  <c r="H52" i="4"/>
  <c r="F53" i="4"/>
  <c r="G53" i="4"/>
  <c r="H53" i="4"/>
  <c r="F54" i="4"/>
  <c r="G54" i="4"/>
  <c r="H54" i="4"/>
  <c r="F55" i="4"/>
  <c r="G55" i="4"/>
  <c r="H55" i="4"/>
  <c r="F56" i="4"/>
  <c r="G56" i="4"/>
  <c r="H56" i="4"/>
  <c r="F57" i="4"/>
  <c r="G57" i="4"/>
  <c r="H57" i="4"/>
  <c r="F58" i="4"/>
  <c r="G58" i="4"/>
  <c r="H58" i="4"/>
  <c r="F59" i="4"/>
  <c r="G59" i="4"/>
  <c r="H59" i="4"/>
  <c r="F60" i="4"/>
  <c r="G60" i="4"/>
  <c r="H60" i="4"/>
  <c r="F61" i="4"/>
  <c r="G61" i="4"/>
  <c r="H61" i="4"/>
  <c r="F62" i="4"/>
  <c r="G62" i="4"/>
  <c r="H62" i="4"/>
  <c r="F63" i="4"/>
  <c r="G63" i="4"/>
  <c r="H63" i="4"/>
  <c r="F64" i="4"/>
  <c r="G64" i="4"/>
  <c r="H64" i="4"/>
  <c r="F65" i="4"/>
  <c r="G65" i="4"/>
  <c r="H65" i="4"/>
  <c r="F66" i="4"/>
  <c r="G66" i="4"/>
  <c r="H66" i="4"/>
  <c r="F67" i="4"/>
  <c r="G67" i="4"/>
  <c r="H67" i="4"/>
  <c r="F68" i="4"/>
  <c r="G68" i="4"/>
  <c r="H68" i="4"/>
  <c r="F69" i="4"/>
  <c r="G69" i="4"/>
  <c r="H69" i="4"/>
  <c r="F70" i="4"/>
  <c r="G70" i="4"/>
  <c r="H70" i="4"/>
  <c r="F71" i="4"/>
  <c r="G71" i="4"/>
  <c r="H71" i="4"/>
  <c r="F72" i="4"/>
  <c r="G72" i="4"/>
  <c r="H72" i="4"/>
  <c r="F73" i="4"/>
  <c r="G73" i="4"/>
  <c r="H73" i="4"/>
  <c r="F74" i="4"/>
  <c r="G74" i="4"/>
  <c r="H74" i="4"/>
  <c r="F75" i="4"/>
  <c r="G75" i="4"/>
  <c r="H75" i="4"/>
  <c r="F76" i="4"/>
  <c r="G76" i="4"/>
  <c r="H76" i="4"/>
  <c r="G2" i="4"/>
  <c r="H2" i="4"/>
  <c r="F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2" i="4"/>
  <c r="W20" i="2" l="1"/>
  <c r="W25" i="2" s="1"/>
  <c r="W21" i="2"/>
  <c r="W26" i="2" s="1"/>
  <c r="W22" i="2"/>
  <c r="W27" i="2" s="1"/>
</calcChain>
</file>

<file path=xl/sharedStrings.xml><?xml version="1.0" encoding="utf-8"?>
<sst xmlns="http://schemas.openxmlformats.org/spreadsheetml/2006/main" count="209" uniqueCount="82">
  <si>
    <t>m</t>
  </si>
  <si>
    <t>n</t>
  </si>
  <si>
    <t>IC_ARL</t>
  </si>
  <si>
    <t>H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</si>
  <si>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</si>
  <si>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</si>
  <si>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</si>
  <si>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</si>
  <si>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</si>
  <si>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</si>
  <si>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</si>
  <si>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</si>
  <si>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</si>
  <si>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</si>
  <si>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</si>
  <si>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</si>
  <si>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</si>
  <si>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</si>
  <si>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</si>
  <si>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</si>
  <si>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</si>
  <si>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</si>
  <si>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</si>
  <si>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</si>
  <si>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</si>
  <si>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</si>
  <si>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</si>
  <si>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</si>
  <si>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IC ARL</t>
  </si>
  <si>
    <t>Test</t>
  </si>
  <si>
    <t>Heteroscedasticity</t>
  </si>
  <si>
    <t xml:space="preserve">Breusch-Pagan Test </t>
  </si>
  <si>
    <t>Normality</t>
  </si>
  <si>
    <t xml:space="preserve"> Shapiro-Wilk Test</t>
  </si>
  <si>
    <t>Multicollinearity</t>
  </si>
  <si>
    <t>Variance Inflation Factor</t>
  </si>
  <si>
    <t>Sample Sizes</t>
  </si>
  <si>
    <t>Satisfied</t>
  </si>
  <si>
    <t>log_m</t>
  </si>
  <si>
    <t>log_n</t>
  </si>
  <si>
    <t>log_IC_ARL</t>
  </si>
  <si>
    <t>Pvalue</t>
  </si>
  <si>
    <t>Threshold</t>
  </si>
  <si>
    <t>Result</t>
  </si>
  <si>
    <t>Assumption</t>
  </si>
  <si>
    <t>Autocorrelation</t>
  </si>
  <si>
    <t>Durbin-Watson test</t>
  </si>
  <si>
    <t>log_m:  1.000021</t>
  </si>
  <si>
    <t>log_n: 1.000019</t>
  </si>
  <si>
    <t>log_IC_ARL: 1.00004</t>
  </si>
  <si>
    <t>log_m:  1.000013</t>
  </si>
  <si>
    <t>log_n: 1.000005</t>
  </si>
  <si>
    <t>log_IC_ARL: 1.000019</t>
  </si>
  <si>
    <t>User</t>
  </si>
  <si>
    <t>Mail</t>
  </si>
  <si>
    <t>Shubham</t>
  </si>
  <si>
    <t>shubhamshinde23599@gmail.com</t>
  </si>
  <si>
    <t>R</t>
  </si>
  <si>
    <t xml:space="preserve">minip38032@sinyago.com </t>
  </si>
  <si>
    <t>R Program</t>
  </si>
  <si>
    <t xml:space="preserve">kadif15864@haislot.com </t>
  </si>
  <si>
    <t>makego8759@idsho.com</t>
  </si>
  <si>
    <t>jalap84772@runchet.com</t>
  </si>
  <si>
    <t>Reaserch</t>
  </si>
  <si>
    <t>Saurabh 1</t>
  </si>
  <si>
    <t>Solytics</t>
  </si>
  <si>
    <t xml:space="preserve">mqigmxwvedbgojnwdl@nthrl.com </t>
  </si>
  <si>
    <t>Ranjeet</t>
  </si>
  <si>
    <t xml:space="preserve">shubhamshinde230599@gmail.com </t>
  </si>
  <si>
    <t>Vijay</t>
  </si>
  <si>
    <t>zrlxxtmadxkkjeriun@cazlv.com</t>
  </si>
  <si>
    <t>Vinayak</t>
  </si>
  <si>
    <t xml:space="preserve">obdswtjavftmcbaqtp@kvhrr.com </t>
  </si>
  <si>
    <t>Juned</t>
  </si>
  <si>
    <t xml:space="preserve">hafalid125@funvane.com </t>
  </si>
  <si>
    <t>IC ARL 250</t>
  </si>
  <si>
    <t>IC ARL 370</t>
  </si>
  <si>
    <t>IC ARL 500</t>
  </si>
  <si>
    <t>Column Labels</t>
  </si>
  <si>
    <t>Grand Total</t>
  </si>
  <si>
    <t>Row Labels</t>
  </si>
  <si>
    <t>Average of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</si>
</sst>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onsolas"/>
      <family val="3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Continuous"/>
    </xf>
    <xf numFmtId="10" fontId="0" fillId="0" borderId="1" xfId="0" applyNumberFormat="1" applyBorder="1"/>
    <xf numFmtId="2" fontId="0" fillId="0" borderId="1" xfId="0" applyNumberFormat="1" applyBorder="1"/>
    <xf numFmtId="0" fontId="2" fillId="0" borderId="1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0" fontId="10" fillId="0" borderId="12" xfId="1" applyBorder="1"/>
    <xf numFmtId="0" fontId="0" fillId="0" borderId="13" xfId="0" applyBorder="1"/>
    <xf numFmtId="0" fontId="10" fillId="0" borderId="0" xfId="1" applyBorder="1"/>
    <xf numFmtId="0" fontId="0" fillId="0" borderId="14" xfId="0" applyBorder="1"/>
    <xf numFmtId="0" fontId="10" fillId="0" borderId="15" xfId="1" applyBorder="1"/>
    <xf numFmtId="0" fontId="1" fillId="0" borderId="4" xfId="0" applyFont="1" applyBorder="1" applyAlignment="1">
      <alignment horizontal="center"/>
    </xf>
    <xf numFmtId="0" fontId="10" fillId="0" borderId="16" xfId="1" applyBorder="1"/>
    <xf numFmtId="0" fontId="10" fillId="0" borderId="17" xfId="1" applyBorder="1"/>
    <xf numFmtId="0" fontId="10" fillId="0" borderId="18" xfId="1" applyBorder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1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[CUSUM Modeling Data and Outputs.xlsx]Sheet1!PivotTable1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Sheet1!$A$5:$A$10</c:f>
              <c:strCache>
                <c:ptCount val="5"/>
                <c:pt idx="0">
                  <c:v>100</c:v>
                </c:pt>
                <c:pt idx="1">
                  <c:v>125</c:v>
                </c:pt>
                <c:pt idx="2">
                  <c:v>150</c:v>
                </c:pt>
                <c:pt idx="3">
                  <c:v>175</c:v>
                </c:pt>
                <c:pt idx="4">
                  <c:v>200</c:v>
                </c:pt>
              </c:strCache>
            </c:strRef>
          </c:cat>
          <c:val>
            <c:numRef>
              <c:f>Sheet1!$B$5:$B$10</c:f>
              <c:numCache>
                <c:formatCode>General</c:formatCode>
                <c:ptCount val="5"/>
                <c:pt idx="0">
                  <c:v>19.25</c:v>
                </c:pt>
                <c:pt idx="1">
                  <c:v>20.05</c:v>
                </c:pt>
                <c:pt idx="2">
                  <c:v>21.4</c:v>
                </c:pt>
                <c:pt idx="3">
                  <c:v>22</c:v>
                </c:pt>
                <c:pt idx="4">
                  <c:v>22.7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A5-4977-877D-211F2EF40573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Sheet1!$A$5:$A$10</c:f>
              <c:strCache>
                <c:ptCount val="5"/>
                <c:pt idx="0">
                  <c:v>100</c:v>
                </c:pt>
                <c:pt idx="1">
                  <c:v>125</c:v>
                </c:pt>
                <c:pt idx="2">
                  <c:v>150</c:v>
                </c:pt>
                <c:pt idx="3">
                  <c:v>175</c:v>
                </c:pt>
                <c:pt idx="4">
                  <c:v>200</c:v>
                </c:pt>
              </c:strCache>
            </c:strRef>
          </c:cat>
          <c:val>
            <c:numRef>
              <c:f>Sheet1!$C$5:$C$10</c:f>
              <c:numCache>
                <c:formatCode>General</c:formatCode>
                <c:ptCount val="5"/>
                <c:pt idx="0">
                  <c:v>18.25</c:v>
                </c:pt>
                <c:pt idx="1">
                  <c:v>19.2</c:v>
                </c:pt>
                <c:pt idx="2">
                  <c:v>21</c:v>
                </c:pt>
                <c:pt idx="3">
                  <c:v>21.75</c:v>
                </c:pt>
                <c:pt idx="4">
                  <c:v>22.35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2A5-4977-877D-211F2EF40573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15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Sheet1!$A$5:$A$10</c:f>
              <c:strCache>
                <c:ptCount val="5"/>
                <c:pt idx="0">
                  <c:v>100</c:v>
                </c:pt>
                <c:pt idx="1">
                  <c:v>125</c:v>
                </c:pt>
                <c:pt idx="2">
                  <c:v>150</c:v>
                </c:pt>
                <c:pt idx="3">
                  <c:v>175</c:v>
                </c:pt>
                <c:pt idx="4">
                  <c:v>200</c:v>
                </c:pt>
              </c:strCache>
            </c:strRef>
          </c:cat>
          <c:val>
            <c:numRef>
              <c:f>Sheet1!$D$5:$D$10</c:f>
              <c:numCache>
                <c:formatCode>General</c:formatCode>
                <c:ptCount val="5"/>
                <c:pt idx="0">
                  <c:v>17.05</c:v>
                </c:pt>
                <c:pt idx="1">
                  <c:v>18.25</c:v>
                </c:pt>
                <c:pt idx="2">
                  <c:v>19.850000000000001</c:v>
                </c:pt>
                <c:pt idx="3">
                  <c:v>20.75</c:v>
                </c:pt>
                <c:pt idx="4">
                  <c:v>21.6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2A5-4977-877D-211F2EF40573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Sheet1!$A$5:$A$10</c:f>
              <c:strCache>
                <c:ptCount val="5"/>
                <c:pt idx="0">
                  <c:v>100</c:v>
                </c:pt>
                <c:pt idx="1">
                  <c:v>125</c:v>
                </c:pt>
                <c:pt idx="2">
                  <c:v>150</c:v>
                </c:pt>
                <c:pt idx="3">
                  <c:v>175</c:v>
                </c:pt>
                <c:pt idx="4">
                  <c:v>200</c:v>
                </c:pt>
              </c:strCache>
            </c:strRef>
          </c:cat>
          <c:val>
            <c:numRef>
              <c:f>Sheet1!$E$5:$E$10</c:f>
              <c:numCache>
                <c:formatCode>General</c:formatCode>
                <c:ptCount val="5"/>
                <c:pt idx="0">
                  <c:v>15.85</c:v>
                </c:pt>
                <c:pt idx="1">
                  <c:v>17.25</c:v>
                </c:pt>
                <c:pt idx="2">
                  <c:v>18.8</c:v>
                </c:pt>
                <c:pt idx="3">
                  <c:v>19.75</c:v>
                </c:pt>
                <c:pt idx="4">
                  <c:v>20.55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2A5-4977-877D-211F2EF40573}"/>
            </c:ext>
          </c:extLst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25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Sheet1!$A$5:$A$10</c:f>
              <c:strCache>
                <c:ptCount val="5"/>
                <c:pt idx="0">
                  <c:v>100</c:v>
                </c:pt>
                <c:pt idx="1">
                  <c:v>125</c:v>
                </c:pt>
                <c:pt idx="2">
                  <c:v>150</c:v>
                </c:pt>
                <c:pt idx="3">
                  <c:v>175</c:v>
                </c:pt>
                <c:pt idx="4">
                  <c:v>200</c:v>
                </c:pt>
              </c:strCache>
            </c:strRef>
          </c:cat>
          <c:val>
            <c:numRef>
              <c:f>Sheet1!$F$5:$F$10</c:f>
              <c:numCache>
                <c:formatCode>General</c:formatCode>
                <c:ptCount val="5"/>
                <c:pt idx="0">
                  <c:v>14.45</c:v>
                </c:pt>
                <c:pt idx="1">
                  <c:v>16</c:v>
                </c:pt>
                <c:pt idx="2">
                  <c:v>17.600000000000001</c:v>
                </c:pt>
                <c:pt idx="3">
                  <c:v>18.350000000000001</c:v>
                </c:pt>
                <c:pt idx="4">
                  <c:v>19.55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2A5-4977-877D-211F2EF40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895295"/>
        <c:axId val="486868415"/>
      </c:lineChart>
      <c:catAx>
        <c:axId val="486895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868415"/>
        <c:crosses val="autoZero"/>
        <c:auto val="1"/>
        <c:lblAlgn val="ctr"/>
        <c:lblOffset val="100"/>
        <c:noMultiLvlLbl val="0"/>
      </c:catAx>
      <c:valAx>
        <c:axId val="486868415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89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5</xdr:row>
      <xdr:rowOff>0</xdr:rowOff>
    </xdr:from>
    <xdr:to>
      <xdr:col>31</xdr:col>
      <xdr:colOff>551695</xdr:colOff>
      <xdr:row>35</xdr:row>
      <xdr:rowOff>84971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65B22E-F6AA-F490-FF88-E0BA04BEE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20260" y="975360"/>
          <a:ext cx="6038095" cy="60285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6</xdr:row>
      <xdr:rowOff>0</xdr:rowOff>
    </xdr:from>
    <xdr:to>
      <xdr:col>30</xdr:col>
      <xdr:colOff>551695</xdr:colOff>
      <xdr:row>36</xdr:row>
      <xdr:rowOff>84971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6A2699C-4A93-459B-BD49-D677AAEAE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35400" y="1173480"/>
          <a:ext cx="6038095" cy="60285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2</xdr:row>
      <xdr:rowOff>68580</xdr:rowOff>
    </xdr:from>
    <xdr:to>
      <xdr:col>12</xdr:col>
      <xdr:colOff>342900</xdr:colOff>
      <xdr:row>20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380224-2413-AD92-FCE2-F851A335C0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urabh" refreshedDate="45445.660580324075" createdVersion="8" refreshedVersion="8" minRefreshableVersion="3" recordCount="25" xr:uid="{D0A38ED5-4F56-4AAA-B262-DA90EDD46F12}">
  <cacheSource type="worksheet">
    <worksheetSource ref="L2:S27" sheet="H for VWAB with ARL0"/>
  </cacheSource>
  <cacheFields count="8">
    <cacheField name="m" numFmtId="0">
      <sharedItems containsSemiMixedTypes="0" containsString="0" containsNumber="1" containsInteger="1" minValue="100" maxValue="200" count="5">
        <n v="100"/>
        <n v="125"/>
        <n v="150"/>
        <n v="175"/>
        <n v="200"/>
      </sharedItems>
    </cacheField>
    <cacheField name="n" numFmtId="0">
      <sharedItems containsSemiMixedTypes="0" containsString="0" containsNumber="1" containsInteger="1" minValue="5" maxValue="25" count="5">
        <n v="5"/>
        <n v="10"/>
        <n v="15"/>
        <n v="20"/>
        <n v="25"/>
      </sharedItems>
    </cacheField>
    <cacheField name="H" numFmtId="0">
      <sharedItems containsSemiMixedTypes="0" containsString="0" containsNumber="1" minValue="14.45" maxValue="22.7"/>
    </cacheField>
    <cacheField name="IC ARL 250" numFmtId="0">
      <sharedItems containsSemiMixedTypes="0" containsString="0" containsNumber="1" minValue="240.81379999999999" maxValue="259.05040000000002" count="25">
        <n v="249.89099999999999"/>
        <n v="250.26910000000001"/>
        <n v="255.4161"/>
        <n v="259.05040000000002"/>
        <n v="244.96369999999999"/>
        <n v="245.08"/>
        <n v="244.32069999999999"/>
        <n v="240.81379999999999"/>
        <n v="257.28530000000001"/>
        <n v="244.84139999999999"/>
        <n v="258.95060000000001"/>
        <n v="257.6053"/>
        <n v="250.5778"/>
        <n v="258.6807"/>
        <n v="252.79050000000001"/>
        <n v="256.59989999999999"/>
        <n v="253.0472"/>
        <n v="249.5513"/>
        <n v="258.00970000000001"/>
        <n v="243.5736"/>
        <n v="257.53699999999998"/>
        <n v="256.97570000000002"/>
        <n v="256.55130000000003"/>
        <n v="254.50229999999999"/>
        <n v="251.79730000000001"/>
      </sharedItems>
    </cacheField>
    <cacheField name="H2" numFmtId="0">
      <sharedItems containsSemiMixedTypes="0" containsString="0" containsNumber="1" minValue="16.2" maxValue="26.4"/>
    </cacheField>
    <cacheField name="IC ARL 370" numFmtId="0">
      <sharedItems containsSemiMixedTypes="0" containsString="0" containsNumber="1" minValue="356.95859999999999" maxValue="379.30619999999999"/>
    </cacheField>
    <cacheField name="H3" numFmtId="0">
      <sharedItems containsSemiMixedTypes="0" containsString="0" containsNumber="1" minValue="18.149999999999999" maxValue="30"/>
    </cacheField>
    <cacheField name="IC ARL 500" numFmtId="0">
      <sharedItems containsSemiMixedTypes="0" containsString="0" containsNumber="1" minValue="490.98450000000003" maxValue="514.0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n v="19.25"/>
    <x v="0"/>
    <n v="22.15"/>
    <n v="379.30619999999999"/>
    <n v="25"/>
    <n v="511.87169999999998"/>
  </r>
  <r>
    <x v="0"/>
    <x v="1"/>
    <n v="18.25"/>
    <x v="1"/>
    <n v="20.8"/>
    <n v="361.72430000000003"/>
    <n v="23.1"/>
    <n v="491.48820000000001"/>
  </r>
  <r>
    <x v="0"/>
    <x v="2"/>
    <n v="17.05"/>
    <x v="2"/>
    <n v="19.2"/>
    <n v="374.30119999999999"/>
    <n v="21.5"/>
    <n v="500.1585"/>
  </r>
  <r>
    <x v="0"/>
    <x v="3"/>
    <n v="15.85"/>
    <x v="3"/>
    <n v="17.599999999999998"/>
    <n v="365.78660000000002"/>
    <n v="19.899999999999999"/>
    <n v="514.077"/>
  </r>
  <r>
    <x v="0"/>
    <x v="4"/>
    <n v="14.45"/>
    <x v="4"/>
    <n v="16.2"/>
    <n v="356.95859999999999"/>
    <n v="18.149999999999999"/>
    <n v="502.90159999999997"/>
  </r>
  <r>
    <x v="1"/>
    <x v="0"/>
    <n v="20.05"/>
    <x v="5"/>
    <n v="23.349999999999998"/>
    <n v="369.11099999999999"/>
    <n v="26.2"/>
    <n v="509.83139999999997"/>
  </r>
  <r>
    <x v="1"/>
    <x v="1"/>
    <n v="19.2"/>
    <x v="6"/>
    <n v="22.4"/>
    <n v="369.03179999999998"/>
    <n v="25.15"/>
    <n v="495.36689999999999"/>
  </r>
  <r>
    <x v="1"/>
    <x v="2"/>
    <n v="18.25"/>
    <x v="7"/>
    <n v="21.1"/>
    <n v="374.74630000000002"/>
    <n v="23.5"/>
    <n v="505.86290000000002"/>
  </r>
  <r>
    <x v="1"/>
    <x v="3"/>
    <n v="17.25"/>
    <x v="8"/>
    <n v="19.399999999999999"/>
    <n v="363.2045"/>
    <n v="21.7"/>
    <n v="499.75880000000001"/>
  </r>
  <r>
    <x v="1"/>
    <x v="4"/>
    <n v="16"/>
    <x v="9"/>
    <n v="18.25"/>
    <n v="374.79239999999999"/>
    <n v="20"/>
    <n v="494.38229999999999"/>
  </r>
  <r>
    <x v="2"/>
    <x v="0"/>
    <n v="21.4"/>
    <x v="10"/>
    <n v="24.699999999999996"/>
    <n v="376.15719999999999"/>
    <n v="27.549999999999997"/>
    <n v="496.04020000000003"/>
  </r>
  <r>
    <x v="2"/>
    <x v="1"/>
    <n v="21"/>
    <x v="11"/>
    <n v="24.05"/>
    <n v="371.04"/>
    <n v="26.65"/>
    <n v="505.19200000000001"/>
  </r>
  <r>
    <x v="2"/>
    <x v="2"/>
    <n v="19.850000000000001"/>
    <x v="12"/>
    <n v="22.5"/>
    <n v="361.79610000000002"/>
    <n v="25"/>
    <n v="500.32530000000003"/>
  </r>
  <r>
    <x v="2"/>
    <x v="3"/>
    <n v="18.8"/>
    <x v="13"/>
    <n v="21.2"/>
    <n v="363.40870000000001"/>
    <n v="23.5"/>
    <n v="498.72699999999998"/>
  </r>
  <r>
    <x v="2"/>
    <x v="4"/>
    <n v="17.600000000000001"/>
    <x v="14"/>
    <n v="19.850000000000001"/>
    <n v="374.36410000000001"/>
    <n v="21.95"/>
    <n v="490.98450000000003"/>
  </r>
  <r>
    <x v="3"/>
    <x v="0"/>
    <n v="22"/>
    <x v="15"/>
    <n v="26.049999999999994"/>
    <n v="372.38839999999999"/>
    <n v="28.899999999999995"/>
    <n v="507.6782"/>
  </r>
  <r>
    <x v="3"/>
    <x v="1"/>
    <n v="21.75"/>
    <x v="16"/>
    <n v="25.05"/>
    <n v="367.74810000000002"/>
    <n v="28.15"/>
    <n v="501.27820000000003"/>
  </r>
  <r>
    <x v="3"/>
    <x v="2"/>
    <n v="20.75"/>
    <x v="17"/>
    <n v="23.9"/>
    <n v="375.32780000000002"/>
    <n v="26.6"/>
    <n v="509.19470000000001"/>
  </r>
  <r>
    <x v="3"/>
    <x v="3"/>
    <n v="19.75"/>
    <x v="18"/>
    <n v="22.5"/>
    <n v="363.61759999999998"/>
    <n v="25.3"/>
    <n v="502.07049999999998"/>
  </r>
  <r>
    <x v="3"/>
    <x v="4"/>
    <n v="18.350000000000001"/>
    <x v="19"/>
    <n v="21.450000000000003"/>
    <n v="376.62740000000002"/>
    <n v="23.799999999999997"/>
    <n v="514.0222"/>
  </r>
  <r>
    <x v="4"/>
    <x v="0"/>
    <n v="22.7"/>
    <x v="20"/>
    <n v="26.4"/>
    <n v="365.4051"/>
    <n v="30"/>
    <n v="498.62639999999999"/>
  </r>
  <r>
    <x v="4"/>
    <x v="1"/>
    <n v="22.35"/>
    <x v="21"/>
    <n v="26.05"/>
    <n v="374.01479999999998"/>
    <n v="29.549999999999997"/>
    <n v="510.89729999999997"/>
  </r>
  <r>
    <x v="4"/>
    <x v="2"/>
    <n v="21.6"/>
    <x v="22"/>
    <n v="24.85"/>
    <n v="377.87099999999998"/>
    <n v="28.200000000000003"/>
    <n v="509.66410000000002"/>
  </r>
  <r>
    <x v="4"/>
    <x v="3"/>
    <n v="20.55"/>
    <x v="23"/>
    <n v="23.3"/>
    <n v="366.27710000000002"/>
    <n v="26.35"/>
    <n v="495.76209999999998"/>
  </r>
  <r>
    <x v="4"/>
    <x v="4"/>
    <n v="19.55"/>
    <x v="24"/>
    <n v="22.25"/>
    <n v="361.7072"/>
    <n v="25.05"/>
    <n v="513.9257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F63EF1-2DC0-4564-9E64-08CA11F26EE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G10" firstHeaderRow="1" firstDataRow="2" firstDataCol="1"/>
  <pivotFields count="8">
    <pivotField axis="axisRow" showAll="0" sortType="ascending">
      <items count="6">
        <item x="0"/>
        <item x="1"/>
        <item x="2"/>
        <item x="3"/>
        <item x="4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>
      <items count="26">
        <item x="7"/>
        <item x="19"/>
        <item x="6"/>
        <item x="9"/>
        <item x="4"/>
        <item x="5"/>
        <item x="17"/>
        <item x="0"/>
        <item x="1"/>
        <item x="12"/>
        <item x="24"/>
        <item x="14"/>
        <item x="16"/>
        <item x="23"/>
        <item x="2"/>
        <item x="22"/>
        <item x="15"/>
        <item x="21"/>
        <item x="8"/>
        <item x="20"/>
        <item x="11"/>
        <item x="18"/>
        <item x="13"/>
        <item x="10"/>
        <item x="3"/>
        <item t="default"/>
      </items>
    </pivotField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H" fld="2" subtotal="average" baseField="1" baseItem="0"/>
  </dataFields>
  <chartFormats count="1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zrlxxtmadxkkjeriun@cazlv.com" TargetMode="External"/><Relationship Id="rId13" Type="http://schemas.openxmlformats.org/officeDocument/2006/relationships/hyperlink" Target="mailto:kadif15864@haislot.com" TargetMode="External"/><Relationship Id="rId18" Type="http://schemas.openxmlformats.org/officeDocument/2006/relationships/hyperlink" Target="mailto:kadif15864@haislot.com" TargetMode="External"/><Relationship Id="rId26" Type="http://schemas.openxmlformats.org/officeDocument/2006/relationships/printerSettings" Target="../printerSettings/printerSettings3.bin"/><Relationship Id="rId3" Type="http://schemas.openxmlformats.org/officeDocument/2006/relationships/hyperlink" Target="mailto:kadif15864@haislot.com" TargetMode="External"/><Relationship Id="rId21" Type="http://schemas.openxmlformats.org/officeDocument/2006/relationships/hyperlink" Target="mailto:mqigmxwvedbgojnwdl@nthrl.com" TargetMode="External"/><Relationship Id="rId7" Type="http://schemas.openxmlformats.org/officeDocument/2006/relationships/hyperlink" Target="mailto:shubhamshinde230599@gmail.com" TargetMode="External"/><Relationship Id="rId12" Type="http://schemas.openxmlformats.org/officeDocument/2006/relationships/hyperlink" Target="mailto:minip38032@sinyago.com" TargetMode="External"/><Relationship Id="rId17" Type="http://schemas.openxmlformats.org/officeDocument/2006/relationships/hyperlink" Target="mailto:minip38032@sinyago.com" TargetMode="External"/><Relationship Id="rId25" Type="http://schemas.openxmlformats.org/officeDocument/2006/relationships/hyperlink" Target="mailto:hafalid125@funvane.com" TargetMode="External"/><Relationship Id="rId2" Type="http://schemas.openxmlformats.org/officeDocument/2006/relationships/hyperlink" Target="mailto:minip38032@sinyago.com" TargetMode="External"/><Relationship Id="rId16" Type="http://schemas.openxmlformats.org/officeDocument/2006/relationships/hyperlink" Target="mailto:shubhamshinde23599@gmail.com" TargetMode="External"/><Relationship Id="rId20" Type="http://schemas.openxmlformats.org/officeDocument/2006/relationships/hyperlink" Target="mailto:jalap84772@runchet.com" TargetMode="External"/><Relationship Id="rId1" Type="http://schemas.openxmlformats.org/officeDocument/2006/relationships/hyperlink" Target="mailto:shubhamshinde23599@gmail.com" TargetMode="External"/><Relationship Id="rId6" Type="http://schemas.openxmlformats.org/officeDocument/2006/relationships/hyperlink" Target="mailto:mqigmxwvedbgojnwdl@nthrl.com" TargetMode="External"/><Relationship Id="rId11" Type="http://schemas.openxmlformats.org/officeDocument/2006/relationships/hyperlink" Target="mailto:shubhamshinde23599@gmail.com" TargetMode="External"/><Relationship Id="rId24" Type="http://schemas.openxmlformats.org/officeDocument/2006/relationships/hyperlink" Target="mailto:obdswtjavftmcbaqtp@kvhrr.com" TargetMode="External"/><Relationship Id="rId5" Type="http://schemas.openxmlformats.org/officeDocument/2006/relationships/hyperlink" Target="mailto:jalap84772@runchet.com" TargetMode="External"/><Relationship Id="rId15" Type="http://schemas.openxmlformats.org/officeDocument/2006/relationships/hyperlink" Target="mailto:jalap84772@runchet.com" TargetMode="External"/><Relationship Id="rId23" Type="http://schemas.openxmlformats.org/officeDocument/2006/relationships/hyperlink" Target="mailto:zrlxxtmadxkkjeriun@cazlv.com" TargetMode="External"/><Relationship Id="rId10" Type="http://schemas.openxmlformats.org/officeDocument/2006/relationships/hyperlink" Target="mailto:hafalid125@funvane.com" TargetMode="External"/><Relationship Id="rId19" Type="http://schemas.openxmlformats.org/officeDocument/2006/relationships/hyperlink" Target="mailto:makego8759@idsho.com" TargetMode="External"/><Relationship Id="rId4" Type="http://schemas.openxmlformats.org/officeDocument/2006/relationships/hyperlink" Target="mailto:makego8759@idsho.com" TargetMode="External"/><Relationship Id="rId9" Type="http://schemas.openxmlformats.org/officeDocument/2006/relationships/hyperlink" Target="mailto:obdswtjavftmcbaqtp@kvhrr.com" TargetMode="External"/><Relationship Id="rId14" Type="http://schemas.openxmlformats.org/officeDocument/2006/relationships/hyperlink" Target="mailto:makego8759@idsho.com" TargetMode="External"/><Relationship Id="rId22" Type="http://schemas.openxmlformats.org/officeDocument/2006/relationships/hyperlink" Target="mailto:shubhamshinde230599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6BA26-F615-4480-BF64-6F81CB4D28F6}">
  <dimension ref="A1:S76"/>
  <sheetViews>
    <sheetView topLeftCell="G12" workbookViewId="0">
      <selection activeCell="P30" sqref="P30"/>
    </sheetView>
  </sheetViews>
  <sheetFormatPr defaultRowHeight="14.4" x14ac:dyDescent="0.3"/>
  <cols>
    <col min="1" max="2" width="8.88671875" style="2"/>
    <col min="4" max="7" width="8.88671875" style="2"/>
    <col min="8" max="8" width="10.44140625" style="2" bestFit="1" customWidth="1"/>
    <col min="11" max="11" width="19.21875" style="2" customWidth="1"/>
    <col min="12" max="12" width="21.44140625" style="2" bestFit="1" customWidth="1"/>
    <col min="13" max="13" width="17.77734375" style="2" customWidth="1"/>
    <col min="14" max="14" width="15.109375" style="2" customWidth="1"/>
    <col min="15" max="15" width="12" style="2" bestFit="1" customWidth="1"/>
    <col min="16" max="16" width="13.44140625" style="2" bestFit="1" customWidth="1"/>
    <col min="17" max="17" width="11.5546875" style="2" bestFit="1" customWidth="1"/>
    <col min="18" max="19" width="12.44140625" style="2" bestFit="1" customWidth="1"/>
  </cols>
  <sheetData>
    <row r="1" spans="1:19" x14ac:dyDescent="0.3">
      <c r="A1" s="5" t="s">
        <v>0</v>
      </c>
      <c r="B1" s="5" t="s">
        <v>1</v>
      </c>
      <c r="C1" s="5" t="s">
        <v>2</v>
      </c>
      <c r="D1" s="5" t="s">
        <v>3</v>
      </c>
      <c r="F1" s="5" t="s">
        <v>38</v>
      </c>
      <c r="G1" s="5" t="s">
        <v>39</v>
      </c>
      <c r="H1" s="5" t="s">
        <v>40</v>
      </c>
      <c r="I1" s="5" t="s">
        <v>3</v>
      </c>
    </row>
    <row r="2" spans="1:19" ht="15.6" x14ac:dyDescent="0.3">
      <c r="A2" s="1">
        <v>100</v>
      </c>
      <c r="B2" s="1">
        <v>5</v>
      </c>
      <c r="C2" s="1">
        <v>250.07470000000001</v>
      </c>
      <c r="D2" s="6">
        <v>10.45</v>
      </c>
      <c r="F2" s="1">
        <f>LN(A2)</f>
        <v>4.6051701859880918</v>
      </c>
      <c r="G2" s="1">
        <f>LN(B2)</f>
        <v>1.6094379124341003</v>
      </c>
      <c r="H2" s="1">
        <f>LN(C2)</f>
        <v>5.5217596732304166</v>
      </c>
      <c r="I2" s="14">
        <f>D2</f>
        <v>10.45</v>
      </c>
    </row>
    <row r="3" spans="1:19" ht="15.6" x14ac:dyDescent="0.3">
      <c r="A3" s="1">
        <v>100</v>
      </c>
      <c r="B3" s="1">
        <v>10</v>
      </c>
      <c r="C3" s="1">
        <v>248.27719999999999</v>
      </c>
      <c r="D3" s="6">
        <v>10</v>
      </c>
      <c r="F3" s="1">
        <f t="shared" ref="F3:F66" si="0">LN(A3)</f>
        <v>4.6051701859880918</v>
      </c>
      <c r="G3" s="1">
        <f t="shared" ref="G3:G66" si="1">LN(B3)</f>
        <v>2.3025850929940459</v>
      </c>
      <c r="H3" s="1">
        <f t="shared" ref="H3:H66" si="2">LN(C3)</f>
        <v>5.5145458638920415</v>
      </c>
      <c r="I3" s="14">
        <f t="shared" ref="I3:I66" si="3">D3</f>
        <v>10</v>
      </c>
    </row>
    <row r="4" spans="1:19" ht="15.6" x14ac:dyDescent="0.3">
      <c r="A4" s="1">
        <v>100</v>
      </c>
      <c r="B4" s="1">
        <v>15</v>
      </c>
      <c r="C4" s="1">
        <v>246.75299999999999</v>
      </c>
      <c r="D4" s="6">
        <v>9.75</v>
      </c>
      <c r="F4" s="1">
        <f t="shared" si="0"/>
        <v>4.6051701859880918</v>
      </c>
      <c r="G4" s="1">
        <f t="shared" si="1"/>
        <v>2.7080502011022101</v>
      </c>
      <c r="H4" s="1">
        <f t="shared" si="2"/>
        <v>5.5083878362943937</v>
      </c>
      <c r="I4" s="14">
        <f t="shared" si="3"/>
        <v>9.75</v>
      </c>
      <c r="K4" t="s">
        <v>4</v>
      </c>
      <c r="L4"/>
      <c r="M4"/>
      <c r="N4"/>
      <c r="O4"/>
      <c r="P4"/>
      <c r="Q4"/>
      <c r="R4"/>
      <c r="S4"/>
    </row>
    <row r="5" spans="1:19" ht="15.6" x14ac:dyDescent="0.3">
      <c r="A5" s="1">
        <v>100</v>
      </c>
      <c r="B5" s="1">
        <v>20</v>
      </c>
      <c r="C5" s="1">
        <v>245.79339999999999</v>
      </c>
      <c r="D5" s="6">
        <v>9.6</v>
      </c>
      <c r="F5" s="1">
        <f t="shared" si="0"/>
        <v>4.6051701859880918</v>
      </c>
      <c r="G5" s="1">
        <f t="shared" si="1"/>
        <v>2.9957322735539909</v>
      </c>
      <c r="H5" s="1">
        <f t="shared" si="2"/>
        <v>5.5044913456729834</v>
      </c>
      <c r="I5" s="14">
        <f t="shared" si="3"/>
        <v>9.6</v>
      </c>
      <c r="K5"/>
      <c r="L5"/>
      <c r="M5"/>
      <c r="N5"/>
      <c r="O5"/>
      <c r="P5"/>
      <c r="Q5"/>
      <c r="R5"/>
      <c r="S5"/>
    </row>
    <row r="6" spans="1:19" ht="15.6" x14ac:dyDescent="0.3">
      <c r="A6" s="1">
        <v>100</v>
      </c>
      <c r="B6" s="1">
        <v>25</v>
      </c>
      <c r="C6" s="1">
        <v>256.80689999999998</v>
      </c>
      <c r="D6" s="6">
        <v>9.5</v>
      </c>
      <c r="F6" s="1">
        <f t="shared" si="0"/>
        <v>4.6051701859880918</v>
      </c>
      <c r="G6" s="1">
        <f t="shared" si="1"/>
        <v>3.2188758248682006</v>
      </c>
      <c r="H6" s="1">
        <f t="shared" si="2"/>
        <v>5.5483244406137153</v>
      </c>
      <c r="I6" s="14">
        <f t="shared" si="3"/>
        <v>9.5</v>
      </c>
      <c r="K6" s="50" t="s">
        <v>5</v>
      </c>
      <c r="L6" s="51"/>
      <c r="M6"/>
      <c r="N6"/>
      <c r="O6"/>
      <c r="P6"/>
      <c r="Q6"/>
      <c r="R6"/>
      <c r="S6"/>
    </row>
    <row r="7" spans="1:19" ht="15.6" x14ac:dyDescent="0.3">
      <c r="A7" s="1">
        <v>125</v>
      </c>
      <c r="B7" s="1">
        <v>5</v>
      </c>
      <c r="C7" s="1">
        <v>255.57320000000001</v>
      </c>
      <c r="D7" s="6">
        <v>10.7</v>
      </c>
      <c r="F7" s="1">
        <f t="shared" si="0"/>
        <v>4.8283137373023015</v>
      </c>
      <c r="G7" s="1">
        <f t="shared" si="1"/>
        <v>1.6094379124341003</v>
      </c>
      <c r="H7" s="1">
        <f t="shared" si="2"/>
        <v>5.5435088656758911</v>
      </c>
      <c r="I7" s="14">
        <f t="shared" si="3"/>
        <v>10.7</v>
      </c>
      <c r="K7" s="1" t="s">
        <v>6</v>
      </c>
      <c r="L7" s="18">
        <v>0.9953433055481381</v>
      </c>
      <c r="M7"/>
      <c r="N7"/>
      <c r="O7"/>
      <c r="P7"/>
      <c r="Q7"/>
      <c r="R7"/>
      <c r="S7"/>
    </row>
    <row r="8" spans="1:19" ht="15.6" x14ac:dyDescent="0.3">
      <c r="A8" s="1">
        <v>125</v>
      </c>
      <c r="B8" s="1">
        <v>10</v>
      </c>
      <c r="C8" s="1">
        <v>252.90289999999999</v>
      </c>
      <c r="D8" s="6">
        <v>10.25</v>
      </c>
      <c r="F8" s="1">
        <f t="shared" si="0"/>
        <v>4.8283137373023015</v>
      </c>
      <c r="G8" s="1">
        <f t="shared" si="1"/>
        <v>2.3025850929940459</v>
      </c>
      <c r="H8" s="1">
        <f t="shared" si="2"/>
        <v>5.5330056205931717</v>
      </c>
      <c r="I8" s="14">
        <f t="shared" si="3"/>
        <v>10.25</v>
      </c>
      <c r="K8" s="1" t="s">
        <v>7</v>
      </c>
      <c r="L8" s="18">
        <v>0.99070829589949416</v>
      </c>
      <c r="M8"/>
      <c r="N8"/>
      <c r="O8"/>
      <c r="P8"/>
      <c r="Q8"/>
      <c r="R8"/>
      <c r="S8"/>
    </row>
    <row r="9" spans="1:19" ht="15.6" x14ac:dyDescent="0.3">
      <c r="A9" s="1">
        <v>125</v>
      </c>
      <c r="B9" s="1">
        <v>15</v>
      </c>
      <c r="C9" s="1">
        <v>250.7072</v>
      </c>
      <c r="D9" s="6">
        <v>10.050000000000001</v>
      </c>
      <c r="F9" s="1">
        <f t="shared" si="0"/>
        <v>4.8283137373023015</v>
      </c>
      <c r="G9" s="1">
        <f t="shared" si="1"/>
        <v>2.7080502011022101</v>
      </c>
      <c r="H9" s="1">
        <f t="shared" si="2"/>
        <v>5.5242857243370098</v>
      </c>
      <c r="I9" s="14">
        <f t="shared" si="3"/>
        <v>10.050000000000001</v>
      </c>
      <c r="K9" s="1" t="s">
        <v>8</v>
      </c>
      <c r="L9" s="18">
        <v>0.9903156886839799</v>
      </c>
      <c r="M9"/>
      <c r="N9"/>
      <c r="O9"/>
      <c r="P9"/>
      <c r="Q9"/>
      <c r="R9"/>
      <c r="S9"/>
    </row>
    <row r="10" spans="1:19" ht="15.6" x14ac:dyDescent="0.3">
      <c r="A10" s="1">
        <v>125</v>
      </c>
      <c r="B10" s="1">
        <v>20</v>
      </c>
      <c r="C10" s="1">
        <v>246.35290000000001</v>
      </c>
      <c r="D10" s="6">
        <v>9.85</v>
      </c>
      <c r="F10" s="1">
        <f t="shared" si="0"/>
        <v>4.8283137373023015</v>
      </c>
      <c r="G10" s="1">
        <f t="shared" si="1"/>
        <v>2.9957322735539909</v>
      </c>
      <c r="H10" s="1">
        <f t="shared" si="2"/>
        <v>5.5067650607899763</v>
      </c>
      <c r="I10" s="14">
        <f t="shared" si="3"/>
        <v>9.85</v>
      </c>
      <c r="K10" s="1" t="s">
        <v>9</v>
      </c>
      <c r="L10" s="17">
        <v>7.13743422836116E-2</v>
      </c>
      <c r="M10"/>
      <c r="N10"/>
      <c r="O10"/>
      <c r="P10"/>
      <c r="Q10"/>
      <c r="R10"/>
      <c r="S10"/>
    </row>
    <row r="11" spans="1:19" ht="15.6" x14ac:dyDescent="0.3">
      <c r="A11" s="1">
        <v>125</v>
      </c>
      <c r="B11" s="1">
        <v>25</v>
      </c>
      <c r="C11" s="1">
        <v>250.8844</v>
      </c>
      <c r="D11" s="6">
        <v>9.75</v>
      </c>
      <c r="F11" s="1">
        <f t="shared" si="0"/>
        <v>4.8283137373023015</v>
      </c>
      <c r="G11" s="1">
        <f t="shared" si="1"/>
        <v>3.2188758248682006</v>
      </c>
      <c r="H11" s="1">
        <f t="shared" si="2"/>
        <v>5.5249922752735552</v>
      </c>
      <c r="I11" s="14">
        <f t="shared" si="3"/>
        <v>9.75</v>
      </c>
      <c r="K11" s="1" t="s">
        <v>10</v>
      </c>
      <c r="L11" s="1">
        <v>75</v>
      </c>
      <c r="M11"/>
      <c r="N11"/>
      <c r="O11"/>
      <c r="P11"/>
      <c r="Q11"/>
      <c r="R11"/>
      <c r="S11"/>
    </row>
    <row r="12" spans="1:19" ht="15.6" x14ac:dyDescent="0.3">
      <c r="A12" s="1">
        <v>150</v>
      </c>
      <c r="B12" s="1">
        <v>5</v>
      </c>
      <c r="C12" s="1">
        <v>253.87880000000001</v>
      </c>
      <c r="D12" s="6">
        <v>10.85</v>
      </c>
      <c r="F12" s="1">
        <f t="shared" si="0"/>
        <v>5.0106352940962555</v>
      </c>
      <c r="G12" s="1">
        <f t="shared" si="1"/>
        <v>1.6094379124341003</v>
      </c>
      <c r="H12" s="1">
        <f t="shared" si="2"/>
        <v>5.5368569877845903</v>
      </c>
      <c r="I12" s="14">
        <f t="shared" si="3"/>
        <v>10.85</v>
      </c>
      <c r="K12"/>
      <c r="L12"/>
      <c r="M12"/>
      <c r="N12"/>
      <c r="O12"/>
      <c r="P12"/>
      <c r="Q12"/>
      <c r="R12"/>
      <c r="S12"/>
    </row>
    <row r="13" spans="1:19" ht="15.6" x14ac:dyDescent="0.3">
      <c r="A13" s="1">
        <v>150</v>
      </c>
      <c r="B13" s="1">
        <v>10</v>
      </c>
      <c r="C13" s="1">
        <v>249.2807</v>
      </c>
      <c r="D13" s="7">
        <v>10.4</v>
      </c>
      <c r="F13" s="1">
        <f t="shared" si="0"/>
        <v>5.0106352940962555</v>
      </c>
      <c r="G13" s="1">
        <f t="shared" si="1"/>
        <v>2.3025850929940459</v>
      </c>
      <c r="H13" s="1">
        <f t="shared" si="2"/>
        <v>5.5185795707657324</v>
      </c>
      <c r="I13" s="14">
        <f t="shared" si="3"/>
        <v>10.4</v>
      </c>
      <c r="K13" t="s">
        <v>11</v>
      </c>
      <c r="L13"/>
      <c r="M13"/>
      <c r="N13"/>
      <c r="O13"/>
      <c r="P13"/>
      <c r="Q13"/>
      <c r="R13"/>
      <c r="S13"/>
    </row>
    <row r="14" spans="1:19" ht="15.6" x14ac:dyDescent="0.3">
      <c r="A14" s="1">
        <v>150</v>
      </c>
      <c r="B14" s="1">
        <v>15</v>
      </c>
      <c r="C14" s="1">
        <v>248.06479999999999</v>
      </c>
      <c r="D14" s="6">
        <v>10.199999999999999</v>
      </c>
      <c r="F14" s="1">
        <f t="shared" si="0"/>
        <v>5.0106352940962555</v>
      </c>
      <c r="G14" s="1">
        <f t="shared" si="1"/>
        <v>2.7080502011022101</v>
      </c>
      <c r="H14" s="1">
        <f t="shared" si="2"/>
        <v>5.5136900023571913</v>
      </c>
      <c r="I14" s="14">
        <f t="shared" si="3"/>
        <v>10.199999999999999</v>
      </c>
      <c r="K14" s="15"/>
      <c r="L14" s="15" t="s">
        <v>12</v>
      </c>
      <c r="M14" s="15" t="s">
        <v>13</v>
      </c>
      <c r="N14" s="15" t="s">
        <v>14</v>
      </c>
      <c r="O14" s="15" t="s">
        <v>15</v>
      </c>
      <c r="P14" s="15" t="s">
        <v>16</v>
      </c>
      <c r="Q14"/>
      <c r="R14"/>
      <c r="S14"/>
    </row>
    <row r="15" spans="1:19" ht="15.6" x14ac:dyDescent="0.3">
      <c r="A15" s="1">
        <v>150</v>
      </c>
      <c r="B15" s="1">
        <v>20</v>
      </c>
      <c r="C15" s="1">
        <v>245.9033</v>
      </c>
      <c r="D15" s="6">
        <v>10.050000000000001</v>
      </c>
      <c r="F15" s="1">
        <f t="shared" si="0"/>
        <v>5.0106352940962555</v>
      </c>
      <c r="G15" s="1">
        <f t="shared" si="1"/>
        <v>2.9957322735539909</v>
      </c>
      <c r="H15" s="1">
        <f t="shared" si="2"/>
        <v>5.5049383692215654</v>
      </c>
      <c r="I15" s="14">
        <f t="shared" si="3"/>
        <v>10.050000000000001</v>
      </c>
      <c r="K15" s="1" t="s">
        <v>17</v>
      </c>
      <c r="L15" s="1">
        <v>3</v>
      </c>
      <c r="M15" s="20">
        <v>38.564971598380971</v>
      </c>
      <c r="N15" s="20">
        <v>12.854990532793657</v>
      </c>
      <c r="O15" s="20">
        <v>2523.4082735887382</v>
      </c>
      <c r="P15" s="20">
        <v>4.9834325546088297E-72</v>
      </c>
      <c r="Q15"/>
      <c r="R15"/>
      <c r="S15"/>
    </row>
    <row r="16" spans="1:19" ht="15.6" x14ac:dyDescent="0.3">
      <c r="A16" s="1">
        <v>150</v>
      </c>
      <c r="B16" s="1">
        <v>25</v>
      </c>
      <c r="C16" s="1">
        <v>251.96899999999999</v>
      </c>
      <c r="D16" s="6">
        <v>9.9499999999999993</v>
      </c>
      <c r="F16" s="1">
        <f t="shared" si="0"/>
        <v>5.0106352940962555</v>
      </c>
      <c r="G16" s="1">
        <f t="shared" si="1"/>
        <v>3.2188758248682006</v>
      </c>
      <c r="H16" s="1">
        <f t="shared" si="2"/>
        <v>5.5293060640713341</v>
      </c>
      <c r="I16" s="14">
        <f t="shared" si="3"/>
        <v>9.9499999999999993</v>
      </c>
      <c r="K16" s="1" t="s">
        <v>18</v>
      </c>
      <c r="L16" s="1">
        <v>71</v>
      </c>
      <c r="M16" s="20">
        <v>0.36169506828568837</v>
      </c>
      <c r="N16" s="20">
        <v>5.094296736418146E-3</v>
      </c>
      <c r="O16" s="20"/>
      <c r="P16" s="20"/>
      <c r="Q16"/>
      <c r="R16"/>
      <c r="S16"/>
    </row>
    <row r="17" spans="1:19" ht="15.6" x14ac:dyDescent="0.3">
      <c r="A17" s="1">
        <v>175</v>
      </c>
      <c r="B17" s="1">
        <v>5</v>
      </c>
      <c r="C17" s="1">
        <v>258.27940000000001</v>
      </c>
      <c r="D17" s="6">
        <v>11</v>
      </c>
      <c r="F17" s="1">
        <f t="shared" si="0"/>
        <v>5.1647859739235145</v>
      </c>
      <c r="G17" s="1">
        <f t="shared" si="1"/>
        <v>1.6094379124341003</v>
      </c>
      <c r="H17" s="1">
        <f t="shared" si="2"/>
        <v>5.5540419446953235</v>
      </c>
      <c r="I17" s="14">
        <f t="shared" si="3"/>
        <v>11</v>
      </c>
      <c r="K17" s="1" t="s">
        <v>19</v>
      </c>
      <c r="L17" s="1">
        <v>74</v>
      </c>
      <c r="M17" s="20">
        <v>38.926666666666662</v>
      </c>
      <c r="N17" s="20"/>
      <c r="O17" s="20"/>
      <c r="P17" s="20"/>
      <c r="Q17"/>
      <c r="R17"/>
      <c r="S17"/>
    </row>
    <row r="18" spans="1:19" ht="15.6" x14ac:dyDescent="0.3">
      <c r="A18" s="1">
        <v>175</v>
      </c>
      <c r="B18" s="1">
        <v>10</v>
      </c>
      <c r="C18" s="1">
        <v>252.71799999999999</v>
      </c>
      <c r="D18" s="6">
        <v>10.55</v>
      </c>
      <c r="F18" s="1">
        <f t="shared" si="0"/>
        <v>5.1647859739235145</v>
      </c>
      <c r="G18" s="1">
        <f t="shared" si="1"/>
        <v>2.3025850929940459</v>
      </c>
      <c r="H18" s="1">
        <f t="shared" si="2"/>
        <v>5.5322742425657117</v>
      </c>
      <c r="I18" s="14">
        <f t="shared" si="3"/>
        <v>10.55</v>
      </c>
      <c r="K18"/>
      <c r="L18"/>
      <c r="M18"/>
      <c r="N18"/>
      <c r="O18"/>
      <c r="P18"/>
      <c r="Q18"/>
      <c r="R18"/>
      <c r="S18"/>
    </row>
    <row r="19" spans="1:19" ht="15.6" x14ac:dyDescent="0.3">
      <c r="A19" s="1">
        <v>175</v>
      </c>
      <c r="B19" s="1">
        <v>15</v>
      </c>
      <c r="C19" s="1">
        <v>251.84379999999999</v>
      </c>
      <c r="D19" s="6">
        <v>10.349999999999998</v>
      </c>
      <c r="F19" s="1">
        <f t="shared" si="0"/>
        <v>5.1647859739235145</v>
      </c>
      <c r="G19" s="1">
        <f t="shared" si="1"/>
        <v>2.7080502011022101</v>
      </c>
      <c r="H19" s="1">
        <f t="shared" si="2"/>
        <v>5.5288090540605639</v>
      </c>
      <c r="I19" s="14">
        <f t="shared" si="3"/>
        <v>10.349999999999998</v>
      </c>
      <c r="K19" s="21"/>
      <c r="L19" s="21" t="s">
        <v>20</v>
      </c>
      <c r="M19" s="21" t="s">
        <v>9</v>
      </c>
      <c r="N19" s="21" t="s">
        <v>21</v>
      </c>
      <c r="O19" s="21" t="s">
        <v>22</v>
      </c>
      <c r="P19" s="21" t="s">
        <v>23</v>
      </c>
      <c r="Q19" s="21" t="s">
        <v>24</v>
      </c>
      <c r="R19" s="21" t="s">
        <v>25</v>
      </c>
      <c r="S19" s="21" t="s">
        <v>26</v>
      </c>
    </row>
    <row r="20" spans="1:19" ht="15.6" x14ac:dyDescent="0.3">
      <c r="A20" s="1">
        <v>175</v>
      </c>
      <c r="B20" s="1">
        <v>20</v>
      </c>
      <c r="C20" s="1">
        <v>258.40109999999999</v>
      </c>
      <c r="D20" s="6">
        <v>10.250000000000002</v>
      </c>
      <c r="F20" s="1">
        <f t="shared" si="0"/>
        <v>5.1647859739235145</v>
      </c>
      <c r="G20" s="1">
        <f t="shared" si="1"/>
        <v>2.9957322735539909</v>
      </c>
      <c r="H20" s="1">
        <f t="shared" si="2"/>
        <v>5.5545130288653297</v>
      </c>
      <c r="I20" s="14">
        <f t="shared" si="3"/>
        <v>10.250000000000002</v>
      </c>
      <c r="K20" s="22" t="s">
        <v>27</v>
      </c>
      <c r="L20" s="22">
        <v>-3.9985573645428243</v>
      </c>
      <c r="M20" s="22">
        <v>0.24106357731013234</v>
      </c>
      <c r="N20" s="22">
        <v>-16.587148540480726</v>
      </c>
      <c r="O20" s="22">
        <v>3.9776999479988157E-26</v>
      </c>
      <c r="P20" s="22">
        <v>-4.479224485749504</v>
      </c>
      <c r="Q20" s="22">
        <v>-3.5178902433361445</v>
      </c>
      <c r="R20" s="22">
        <v>-4.479224485749504</v>
      </c>
      <c r="S20" s="22">
        <v>-3.5178902433361445</v>
      </c>
    </row>
    <row r="21" spans="1:19" ht="15.6" x14ac:dyDescent="0.3">
      <c r="A21" s="1">
        <v>175</v>
      </c>
      <c r="B21" s="1">
        <v>25</v>
      </c>
      <c r="C21" s="1">
        <v>260.10489999999999</v>
      </c>
      <c r="D21" s="6">
        <v>10.149999999999999</v>
      </c>
      <c r="F21" s="1">
        <f t="shared" si="0"/>
        <v>5.1647859739235145</v>
      </c>
      <c r="G21" s="1">
        <f t="shared" si="1"/>
        <v>3.2188758248682006</v>
      </c>
      <c r="H21" s="1">
        <f t="shared" si="2"/>
        <v>5.5610850111852681</v>
      </c>
      <c r="I21" s="14">
        <f t="shared" si="3"/>
        <v>10.149999999999999</v>
      </c>
      <c r="K21" s="22" t="s">
        <v>38</v>
      </c>
      <c r="L21" s="22">
        <v>1.1250538846804352</v>
      </c>
      <c r="M21" s="22">
        <v>3.3651806161999621E-2</v>
      </c>
      <c r="N21" s="22">
        <v>33.432199129652403</v>
      </c>
      <c r="O21" s="22">
        <v>3.4852119161748466E-45</v>
      </c>
      <c r="P21" s="22">
        <v>1.0579540889676895</v>
      </c>
      <c r="Q21" s="22">
        <v>1.1921536803931809</v>
      </c>
      <c r="R21" s="22">
        <v>1.0579540889676895</v>
      </c>
      <c r="S21" s="22">
        <v>1.1921536803931809</v>
      </c>
    </row>
    <row r="22" spans="1:19" ht="15.6" x14ac:dyDescent="0.3">
      <c r="A22" s="1">
        <v>200</v>
      </c>
      <c r="B22" s="1">
        <v>5</v>
      </c>
      <c r="C22" s="1">
        <v>258.4289</v>
      </c>
      <c r="D22" s="6">
        <v>11.1</v>
      </c>
      <c r="F22" s="1">
        <f t="shared" si="0"/>
        <v>5.2983173665480363</v>
      </c>
      <c r="G22" s="1">
        <f t="shared" si="1"/>
        <v>1.6094379124341003</v>
      </c>
      <c r="H22" s="1">
        <f t="shared" si="2"/>
        <v>5.5546206077598477</v>
      </c>
      <c r="I22" s="14">
        <f t="shared" si="3"/>
        <v>11.1</v>
      </c>
      <c r="K22" s="22" t="s">
        <v>39</v>
      </c>
      <c r="L22" s="22">
        <v>-0.67297219355914939</v>
      </c>
      <c r="M22" s="22">
        <v>1.4499352289251873E-2</v>
      </c>
      <c r="N22" s="22">
        <v>-46.413948715351403</v>
      </c>
      <c r="O22" s="22">
        <v>7.4014827055671579E-55</v>
      </c>
      <c r="P22" s="22">
        <v>-0.70188308089436047</v>
      </c>
      <c r="Q22" s="22">
        <v>-0.64406130622393831</v>
      </c>
      <c r="R22" s="22">
        <v>-0.70188308089436047</v>
      </c>
      <c r="S22" s="22">
        <v>-0.64406130622393831</v>
      </c>
    </row>
    <row r="23" spans="1:19" ht="15.6" x14ac:dyDescent="0.3">
      <c r="A23" s="1">
        <v>200</v>
      </c>
      <c r="B23" s="1">
        <v>10</v>
      </c>
      <c r="C23" s="1">
        <v>251.33349999999999</v>
      </c>
      <c r="D23" s="6">
        <v>10.65</v>
      </c>
      <c r="F23" s="1">
        <f t="shared" si="0"/>
        <v>5.2983173665480363</v>
      </c>
      <c r="G23" s="1">
        <f t="shared" si="1"/>
        <v>2.3025850929940459</v>
      </c>
      <c r="H23" s="1">
        <f t="shared" si="2"/>
        <v>5.5267807424696</v>
      </c>
      <c r="I23" s="14">
        <f t="shared" si="3"/>
        <v>10.65</v>
      </c>
      <c r="K23" s="22" t="s">
        <v>40</v>
      </c>
      <c r="L23" s="22">
        <v>1.8777719160795803</v>
      </c>
      <c r="M23" s="22">
        <v>2.8797251399013228E-2</v>
      </c>
      <c r="N23" s="22">
        <v>65.206636913407792</v>
      </c>
      <c r="O23" s="22">
        <v>4.2453262033495046E-65</v>
      </c>
      <c r="P23" s="22">
        <v>1.8203518276403345</v>
      </c>
      <c r="Q23" s="22">
        <v>1.935192004518826</v>
      </c>
      <c r="R23" s="22">
        <v>1.8203518276403345</v>
      </c>
      <c r="S23" s="22">
        <v>1.935192004518826</v>
      </c>
    </row>
    <row r="24" spans="1:19" ht="15.6" x14ac:dyDescent="0.3">
      <c r="A24" s="1">
        <v>200</v>
      </c>
      <c r="B24" s="1">
        <v>15</v>
      </c>
      <c r="C24" s="1">
        <v>246.94970000000001</v>
      </c>
      <c r="D24" s="6">
        <v>10.45</v>
      </c>
      <c r="F24" s="1">
        <f t="shared" si="0"/>
        <v>5.2983173665480363</v>
      </c>
      <c r="G24" s="1">
        <f t="shared" si="1"/>
        <v>2.7080502011022101</v>
      </c>
      <c r="H24" s="1">
        <f t="shared" si="2"/>
        <v>5.5091846721650821</v>
      </c>
      <c r="I24" s="14">
        <f t="shared" si="3"/>
        <v>10.45</v>
      </c>
      <c r="K24"/>
      <c r="L24"/>
      <c r="M24"/>
      <c r="N24"/>
      <c r="O24"/>
      <c r="P24"/>
      <c r="Q24"/>
      <c r="R24"/>
      <c r="S24"/>
    </row>
    <row r="25" spans="1:19" ht="15.6" x14ac:dyDescent="0.3">
      <c r="A25" s="1">
        <v>200</v>
      </c>
      <c r="B25" s="1">
        <v>20</v>
      </c>
      <c r="C25" s="1">
        <v>243.64150000000001</v>
      </c>
      <c r="D25" s="7">
        <v>10.3</v>
      </c>
      <c r="F25" s="1">
        <f t="shared" si="0"/>
        <v>5.2983173665480363</v>
      </c>
      <c r="G25" s="1">
        <f t="shared" si="1"/>
        <v>2.9957322735539909</v>
      </c>
      <c r="H25" s="1">
        <f t="shared" si="2"/>
        <v>5.49569788257386</v>
      </c>
      <c r="I25" s="14">
        <f t="shared" si="3"/>
        <v>10.3</v>
      </c>
      <c r="K25"/>
      <c r="L25"/>
      <c r="M25"/>
      <c r="N25"/>
      <c r="O25"/>
      <c r="P25"/>
      <c r="Q25"/>
      <c r="R25"/>
      <c r="S25"/>
    </row>
    <row r="26" spans="1:19" ht="15.6" x14ac:dyDescent="0.3">
      <c r="A26" s="1">
        <v>200</v>
      </c>
      <c r="B26" s="1">
        <v>25</v>
      </c>
      <c r="C26" s="1">
        <v>249.23249999999999</v>
      </c>
      <c r="D26" s="6">
        <v>10.199999999999999</v>
      </c>
      <c r="F26" s="1">
        <f t="shared" si="0"/>
        <v>5.2983173665480363</v>
      </c>
      <c r="G26" s="1">
        <f t="shared" si="1"/>
        <v>3.2188758248682006</v>
      </c>
      <c r="H26" s="1">
        <f t="shared" si="2"/>
        <v>5.5183861957451699</v>
      </c>
      <c r="I26" s="14">
        <f t="shared" si="3"/>
        <v>10.199999999999999</v>
      </c>
      <c r="K26" s="17" t="s">
        <v>44</v>
      </c>
      <c r="L26" s="1" t="s">
        <v>29</v>
      </c>
      <c r="M26" s="1" t="s">
        <v>41</v>
      </c>
      <c r="N26" s="1" t="s">
        <v>42</v>
      </c>
      <c r="O26" s="1" t="s">
        <v>43</v>
      </c>
      <c r="P26"/>
      <c r="Q26"/>
      <c r="R26"/>
      <c r="S26"/>
    </row>
    <row r="27" spans="1:19" ht="15.6" x14ac:dyDescent="0.3">
      <c r="A27" s="1">
        <v>100</v>
      </c>
      <c r="B27" s="1">
        <v>5</v>
      </c>
      <c r="C27" s="1">
        <v>366.61410000000001</v>
      </c>
      <c r="D27" s="6">
        <v>11.25</v>
      </c>
      <c r="F27" s="1">
        <f t="shared" si="0"/>
        <v>4.6051701859880918</v>
      </c>
      <c r="G27" s="1">
        <f t="shared" si="1"/>
        <v>1.6094379124341003</v>
      </c>
      <c r="H27" s="1">
        <f t="shared" si="2"/>
        <v>5.9043097962044406</v>
      </c>
      <c r="I27" s="14">
        <f t="shared" si="3"/>
        <v>11.25</v>
      </c>
      <c r="K27" s="1" t="s">
        <v>30</v>
      </c>
      <c r="L27" s="1" t="s">
        <v>31</v>
      </c>
      <c r="M27" s="1">
        <v>5.8709999999999998E-2</v>
      </c>
      <c r="N27" s="16">
        <v>0.01</v>
      </c>
      <c r="O27" s="1" t="s">
        <v>37</v>
      </c>
    </row>
    <row r="28" spans="1:19" ht="15.6" x14ac:dyDescent="0.3">
      <c r="A28" s="1">
        <v>100</v>
      </c>
      <c r="B28" s="1">
        <v>10</v>
      </c>
      <c r="C28" s="1">
        <v>376.40980000000002</v>
      </c>
      <c r="D28" s="6">
        <v>10.75</v>
      </c>
      <c r="F28" s="1">
        <f t="shared" si="0"/>
        <v>4.6051701859880918</v>
      </c>
      <c r="G28" s="1">
        <f t="shared" si="1"/>
        <v>2.3025850929940459</v>
      </c>
      <c r="H28" s="1">
        <f t="shared" si="2"/>
        <v>5.9306784435040649</v>
      </c>
      <c r="I28" s="14">
        <f t="shared" si="3"/>
        <v>10.75</v>
      </c>
      <c r="K28" s="1" t="s">
        <v>32</v>
      </c>
      <c r="L28" s="1" t="s">
        <v>33</v>
      </c>
      <c r="M28" s="1">
        <v>0.1143</v>
      </c>
      <c r="N28" s="16">
        <v>0.01</v>
      </c>
      <c r="O28" s="1" t="s">
        <v>37</v>
      </c>
      <c r="Q28" s="23"/>
    </row>
    <row r="29" spans="1:19" ht="15.6" x14ac:dyDescent="0.3">
      <c r="A29" s="1">
        <v>100</v>
      </c>
      <c r="B29" s="1">
        <v>15</v>
      </c>
      <c r="C29" s="1">
        <v>372.49169999999998</v>
      </c>
      <c r="D29" s="7">
        <v>10.45</v>
      </c>
      <c r="F29" s="1">
        <f t="shared" si="0"/>
        <v>4.6051701859880918</v>
      </c>
      <c r="G29" s="1">
        <f t="shared" si="1"/>
        <v>2.7080502011022101</v>
      </c>
      <c r="H29" s="1">
        <f t="shared" si="2"/>
        <v>5.9202147556921751</v>
      </c>
      <c r="I29" s="14">
        <f t="shared" si="3"/>
        <v>10.45</v>
      </c>
      <c r="K29" s="49" t="s">
        <v>34</v>
      </c>
      <c r="L29" s="49" t="s">
        <v>35</v>
      </c>
      <c r="M29" s="1" t="s">
        <v>47</v>
      </c>
      <c r="N29" s="1">
        <v>5</v>
      </c>
      <c r="O29" s="1" t="s">
        <v>37</v>
      </c>
    </row>
    <row r="30" spans="1:19" ht="15.6" x14ac:dyDescent="0.3">
      <c r="A30" s="1">
        <v>100</v>
      </c>
      <c r="B30" s="1">
        <v>20</v>
      </c>
      <c r="C30" s="1">
        <v>378.69650000000001</v>
      </c>
      <c r="D30" s="6">
        <v>10.25</v>
      </c>
      <c r="F30" s="1">
        <f t="shared" si="0"/>
        <v>4.6051701859880918</v>
      </c>
      <c r="G30" s="1">
        <f t="shared" si="1"/>
        <v>2.9957322735539909</v>
      </c>
      <c r="H30" s="1">
        <f t="shared" si="2"/>
        <v>5.9367350927208626</v>
      </c>
      <c r="I30" s="14">
        <f t="shared" si="3"/>
        <v>10.25</v>
      </c>
      <c r="K30" s="49"/>
      <c r="L30" s="49"/>
      <c r="M30" s="1" t="s">
        <v>48</v>
      </c>
      <c r="N30" s="1">
        <v>5</v>
      </c>
      <c r="O30" s="1" t="s">
        <v>37</v>
      </c>
    </row>
    <row r="31" spans="1:19" ht="15.6" x14ac:dyDescent="0.3">
      <c r="A31" s="1">
        <v>100</v>
      </c>
      <c r="B31" s="1">
        <v>25</v>
      </c>
      <c r="C31" s="1">
        <v>369.66019999999997</v>
      </c>
      <c r="D31" s="6">
        <v>10.050000000000001</v>
      </c>
      <c r="F31" s="1">
        <f t="shared" si="0"/>
        <v>4.6051701859880918</v>
      </c>
      <c r="G31" s="1">
        <f t="shared" si="1"/>
        <v>3.2188758248682006</v>
      </c>
      <c r="H31" s="1">
        <f t="shared" si="2"/>
        <v>5.9125842052920978</v>
      </c>
      <c r="I31" s="14">
        <f t="shared" si="3"/>
        <v>10.050000000000001</v>
      </c>
      <c r="K31" s="49"/>
      <c r="L31" s="49"/>
      <c r="M31" s="1" t="s">
        <v>49</v>
      </c>
      <c r="N31" s="1">
        <v>5</v>
      </c>
      <c r="O31" s="1" t="s">
        <v>37</v>
      </c>
    </row>
    <row r="32" spans="1:19" ht="15.6" x14ac:dyDescent="0.3">
      <c r="A32" s="1">
        <v>125</v>
      </c>
      <c r="B32" s="1">
        <v>5</v>
      </c>
      <c r="C32" s="1">
        <v>371.96120000000002</v>
      </c>
      <c r="D32" s="6">
        <v>11.5</v>
      </c>
      <c r="F32" s="1">
        <f t="shared" si="0"/>
        <v>4.8283137373023015</v>
      </c>
      <c r="G32" s="1">
        <f t="shared" si="1"/>
        <v>1.6094379124341003</v>
      </c>
      <c r="H32" s="1">
        <f t="shared" si="2"/>
        <v>5.9187895477581423</v>
      </c>
      <c r="I32" s="14">
        <f t="shared" si="3"/>
        <v>11.5</v>
      </c>
      <c r="K32" s="1" t="s">
        <v>45</v>
      </c>
      <c r="L32" s="1" t="s">
        <v>46</v>
      </c>
      <c r="M32" s="1">
        <v>2.4049999999999998E-2</v>
      </c>
      <c r="N32" s="16">
        <v>0.01</v>
      </c>
      <c r="O32" s="1" t="s">
        <v>37</v>
      </c>
    </row>
    <row r="33" spans="1:9" ht="15.6" x14ac:dyDescent="0.3">
      <c r="A33" s="1">
        <v>125</v>
      </c>
      <c r="B33" s="1">
        <v>10</v>
      </c>
      <c r="C33" s="1">
        <v>369.02620000000002</v>
      </c>
      <c r="D33" s="6">
        <v>11</v>
      </c>
      <c r="F33" s="1">
        <f t="shared" si="0"/>
        <v>4.8283137373023015</v>
      </c>
      <c r="G33" s="1">
        <f t="shared" si="1"/>
        <v>2.3025850929940459</v>
      </c>
      <c r="H33" s="1">
        <f t="shared" si="2"/>
        <v>5.910867644229981</v>
      </c>
      <c r="I33" s="14">
        <f t="shared" si="3"/>
        <v>11</v>
      </c>
    </row>
    <row r="34" spans="1:9" ht="15.6" x14ac:dyDescent="0.3">
      <c r="A34" s="1">
        <v>125</v>
      </c>
      <c r="B34" s="1">
        <v>15</v>
      </c>
      <c r="C34" s="1">
        <v>371.40649999999999</v>
      </c>
      <c r="D34" s="6">
        <v>10.75</v>
      </c>
      <c r="F34" s="1">
        <f t="shared" si="0"/>
        <v>4.8283137373023015</v>
      </c>
      <c r="G34" s="1">
        <f t="shared" si="1"/>
        <v>2.7080502011022101</v>
      </c>
      <c r="H34" s="1">
        <f t="shared" si="2"/>
        <v>5.9172971501117164</v>
      </c>
      <c r="I34" s="14">
        <f t="shared" si="3"/>
        <v>10.75</v>
      </c>
    </row>
    <row r="35" spans="1:9" ht="15.6" x14ac:dyDescent="0.3">
      <c r="A35" s="1">
        <v>125</v>
      </c>
      <c r="B35" s="1">
        <v>20</v>
      </c>
      <c r="C35" s="1">
        <v>377.20479999999998</v>
      </c>
      <c r="D35" s="6">
        <v>10.55</v>
      </c>
      <c r="F35" s="1">
        <f t="shared" si="0"/>
        <v>4.8283137373023015</v>
      </c>
      <c r="G35" s="1">
        <f t="shared" si="1"/>
        <v>2.9957322735539909</v>
      </c>
      <c r="H35" s="1">
        <f t="shared" si="2"/>
        <v>5.9327882760229809</v>
      </c>
      <c r="I35" s="14">
        <f t="shared" si="3"/>
        <v>10.55</v>
      </c>
    </row>
    <row r="36" spans="1:9" ht="15.6" x14ac:dyDescent="0.3">
      <c r="A36" s="1">
        <v>125</v>
      </c>
      <c r="B36" s="1">
        <v>25</v>
      </c>
      <c r="C36" s="1">
        <v>366.31700000000001</v>
      </c>
      <c r="D36" s="6">
        <v>10.35</v>
      </c>
      <c r="F36" s="1">
        <f t="shared" si="0"/>
        <v>4.8283137373023015</v>
      </c>
      <c r="G36" s="1">
        <f t="shared" si="1"/>
        <v>3.2188758248682006</v>
      </c>
      <c r="H36" s="1">
        <f t="shared" si="2"/>
        <v>5.9034990787542663</v>
      </c>
      <c r="I36" s="14">
        <f t="shared" si="3"/>
        <v>10.35</v>
      </c>
    </row>
    <row r="37" spans="1:9" ht="15.6" x14ac:dyDescent="0.3">
      <c r="A37" s="1">
        <v>150</v>
      </c>
      <c r="B37" s="1">
        <v>5</v>
      </c>
      <c r="C37" s="1">
        <v>367.00580000000002</v>
      </c>
      <c r="D37" s="6">
        <v>11.7</v>
      </c>
      <c r="F37" s="1">
        <f t="shared" si="0"/>
        <v>5.0106352940962555</v>
      </c>
      <c r="G37" s="1">
        <f t="shared" si="1"/>
        <v>1.6094379124341003</v>
      </c>
      <c r="H37" s="1">
        <f t="shared" si="2"/>
        <v>5.9053776517444057</v>
      </c>
      <c r="I37" s="14">
        <f t="shared" si="3"/>
        <v>11.7</v>
      </c>
    </row>
    <row r="38" spans="1:9" ht="15.6" x14ac:dyDescent="0.3">
      <c r="A38" s="1">
        <v>150</v>
      </c>
      <c r="B38" s="1">
        <v>10</v>
      </c>
      <c r="C38" s="1">
        <v>371.41370000000001</v>
      </c>
      <c r="D38" s="6">
        <v>11.200000000000001</v>
      </c>
      <c r="F38" s="1">
        <f t="shared" si="0"/>
        <v>5.0106352940962555</v>
      </c>
      <c r="G38" s="1">
        <f t="shared" si="1"/>
        <v>2.3025850929940459</v>
      </c>
      <c r="H38" s="1">
        <f t="shared" si="2"/>
        <v>5.9173165356911612</v>
      </c>
      <c r="I38" s="14">
        <f t="shared" si="3"/>
        <v>11.200000000000001</v>
      </c>
    </row>
    <row r="39" spans="1:9" ht="15.6" x14ac:dyDescent="0.3">
      <c r="A39" s="1">
        <v>150</v>
      </c>
      <c r="B39" s="1">
        <v>15</v>
      </c>
      <c r="C39" s="1">
        <v>368.30880000000002</v>
      </c>
      <c r="D39" s="6">
        <v>10.950000000000001</v>
      </c>
      <c r="F39" s="1">
        <f t="shared" si="0"/>
        <v>5.0106352940962555</v>
      </c>
      <c r="G39" s="1">
        <f t="shared" si="1"/>
        <v>2.7080502011022101</v>
      </c>
      <c r="H39" s="1">
        <f t="shared" si="2"/>
        <v>5.9089217167306014</v>
      </c>
      <c r="I39" s="14">
        <f t="shared" si="3"/>
        <v>10.950000000000001</v>
      </c>
    </row>
    <row r="40" spans="1:9" ht="15.6" x14ac:dyDescent="0.3">
      <c r="A40" s="1">
        <v>150</v>
      </c>
      <c r="B40" s="1">
        <v>20</v>
      </c>
      <c r="C40" s="1">
        <v>364.84</v>
      </c>
      <c r="D40" s="6">
        <v>10.750000000000002</v>
      </c>
      <c r="F40" s="1">
        <f t="shared" si="0"/>
        <v>5.0106352940962555</v>
      </c>
      <c r="G40" s="1">
        <f t="shared" si="1"/>
        <v>2.9957322735539909</v>
      </c>
      <c r="H40" s="1">
        <f t="shared" si="2"/>
        <v>5.8994589013119576</v>
      </c>
      <c r="I40" s="14">
        <f t="shared" si="3"/>
        <v>10.750000000000002</v>
      </c>
    </row>
    <row r="41" spans="1:9" ht="15.6" x14ac:dyDescent="0.3">
      <c r="A41" s="1">
        <v>150</v>
      </c>
      <c r="B41" s="1">
        <v>25</v>
      </c>
      <c r="C41" s="1">
        <v>376.1669</v>
      </c>
      <c r="D41" s="6">
        <v>10.6</v>
      </c>
      <c r="F41" s="1">
        <f t="shared" si="0"/>
        <v>5.0106352940962555</v>
      </c>
      <c r="G41" s="1">
        <f t="shared" si="1"/>
        <v>3.2188758248682006</v>
      </c>
      <c r="H41" s="1">
        <f t="shared" si="2"/>
        <v>5.9300329278817117</v>
      </c>
      <c r="I41" s="14">
        <f t="shared" si="3"/>
        <v>10.6</v>
      </c>
    </row>
    <row r="42" spans="1:9" ht="15.6" x14ac:dyDescent="0.3">
      <c r="A42" s="1">
        <v>175</v>
      </c>
      <c r="B42" s="1">
        <v>5</v>
      </c>
      <c r="C42" s="1">
        <v>362.4744</v>
      </c>
      <c r="D42" s="6">
        <v>11.849999999999998</v>
      </c>
      <c r="F42" s="1">
        <f t="shared" si="0"/>
        <v>5.1647859739235145</v>
      </c>
      <c r="G42" s="1">
        <f t="shared" si="1"/>
        <v>1.6094379124341003</v>
      </c>
      <c r="H42" s="1">
        <f t="shared" si="2"/>
        <v>5.892953851111316</v>
      </c>
      <c r="I42" s="14">
        <f t="shared" si="3"/>
        <v>11.849999999999998</v>
      </c>
    </row>
    <row r="43" spans="1:9" ht="15.6" x14ac:dyDescent="0.3">
      <c r="A43" s="1">
        <v>175</v>
      </c>
      <c r="B43" s="1">
        <v>10</v>
      </c>
      <c r="C43" s="1">
        <v>368.35469999999998</v>
      </c>
      <c r="D43" s="6">
        <v>11.350000000000001</v>
      </c>
      <c r="F43" s="1">
        <f t="shared" si="0"/>
        <v>5.1647859739235145</v>
      </c>
      <c r="G43" s="1">
        <f t="shared" si="1"/>
        <v>2.3025850929940459</v>
      </c>
      <c r="H43" s="1">
        <f t="shared" si="2"/>
        <v>5.9090463326510569</v>
      </c>
      <c r="I43" s="14">
        <f t="shared" si="3"/>
        <v>11.350000000000001</v>
      </c>
    </row>
    <row r="44" spans="1:9" ht="15.6" x14ac:dyDescent="0.3">
      <c r="A44" s="1">
        <v>175</v>
      </c>
      <c r="B44" s="1">
        <v>15</v>
      </c>
      <c r="C44" s="1">
        <v>369.28910000000002</v>
      </c>
      <c r="D44" s="6">
        <v>11.100000000000001</v>
      </c>
      <c r="F44" s="1">
        <f t="shared" si="0"/>
        <v>5.1647859739235145</v>
      </c>
      <c r="G44" s="1">
        <f t="shared" si="1"/>
        <v>2.7080502011022101</v>
      </c>
      <c r="H44" s="1">
        <f t="shared" si="2"/>
        <v>5.9115798061237177</v>
      </c>
      <c r="I44" s="14">
        <f t="shared" si="3"/>
        <v>11.100000000000001</v>
      </c>
    </row>
    <row r="45" spans="1:9" ht="15.6" x14ac:dyDescent="0.3">
      <c r="A45" s="1">
        <v>175</v>
      </c>
      <c r="B45" s="1">
        <v>20</v>
      </c>
      <c r="C45" s="1">
        <v>368.61239999999998</v>
      </c>
      <c r="D45" s="6">
        <v>10.900000000000002</v>
      </c>
      <c r="F45" s="1">
        <f t="shared" si="0"/>
        <v>5.1647859739235145</v>
      </c>
      <c r="G45" s="1">
        <f t="shared" si="1"/>
        <v>2.9957322735539909</v>
      </c>
      <c r="H45" s="1">
        <f t="shared" si="2"/>
        <v>5.909745685472922</v>
      </c>
      <c r="I45" s="14">
        <f t="shared" si="3"/>
        <v>10.900000000000002</v>
      </c>
    </row>
    <row r="46" spans="1:9" ht="15.6" x14ac:dyDescent="0.3">
      <c r="A46" s="1">
        <v>175</v>
      </c>
      <c r="B46" s="1">
        <v>25</v>
      </c>
      <c r="C46" s="1">
        <v>371.0147</v>
      </c>
      <c r="D46" s="6">
        <v>10.799999999999999</v>
      </c>
      <c r="F46" s="1">
        <f t="shared" si="0"/>
        <v>5.1647859739235145</v>
      </c>
      <c r="G46" s="1">
        <f t="shared" si="1"/>
        <v>3.2188758248682006</v>
      </c>
      <c r="H46" s="1">
        <f t="shared" si="2"/>
        <v>5.9162416844639889</v>
      </c>
      <c r="I46" s="14">
        <f t="shared" si="3"/>
        <v>10.799999999999999</v>
      </c>
    </row>
    <row r="47" spans="1:9" ht="15.6" x14ac:dyDescent="0.3">
      <c r="A47" s="1">
        <v>200</v>
      </c>
      <c r="B47" s="1">
        <v>5</v>
      </c>
      <c r="C47" s="1">
        <v>372.33159999999998</v>
      </c>
      <c r="D47" s="6">
        <v>11.95</v>
      </c>
      <c r="F47" s="1">
        <f t="shared" si="0"/>
        <v>5.2983173665480363</v>
      </c>
      <c r="G47" s="1">
        <f t="shared" si="1"/>
        <v>1.6094379124341003</v>
      </c>
      <c r="H47" s="1">
        <f t="shared" si="2"/>
        <v>5.9197848550634866</v>
      </c>
      <c r="I47" s="14">
        <f t="shared" si="3"/>
        <v>11.95</v>
      </c>
    </row>
    <row r="48" spans="1:9" ht="15.6" x14ac:dyDescent="0.3">
      <c r="A48" s="1">
        <v>200</v>
      </c>
      <c r="B48" s="1">
        <v>10</v>
      </c>
      <c r="C48" s="1">
        <v>376.25380000000001</v>
      </c>
      <c r="D48" s="8">
        <v>11.5</v>
      </c>
      <c r="F48" s="1">
        <f t="shared" si="0"/>
        <v>5.2983173665480363</v>
      </c>
      <c r="G48" s="1">
        <f t="shared" si="1"/>
        <v>2.3025850929940459</v>
      </c>
      <c r="H48" s="1">
        <f t="shared" si="2"/>
        <v>5.9302639156798582</v>
      </c>
      <c r="I48" s="14">
        <f t="shared" si="3"/>
        <v>11.5</v>
      </c>
    </row>
    <row r="49" spans="1:9" ht="15.6" x14ac:dyDescent="0.3">
      <c r="A49" s="1">
        <v>200</v>
      </c>
      <c r="B49" s="1">
        <v>15</v>
      </c>
      <c r="C49" s="1">
        <v>362.49160000000001</v>
      </c>
      <c r="D49" s="6">
        <v>11.200000000000001</v>
      </c>
      <c r="F49" s="1">
        <f t="shared" si="0"/>
        <v>5.2983173665480363</v>
      </c>
      <c r="G49" s="1">
        <f t="shared" si="1"/>
        <v>2.7080502011022101</v>
      </c>
      <c r="H49" s="1">
        <f t="shared" si="2"/>
        <v>5.8930013016124523</v>
      </c>
      <c r="I49" s="14">
        <f t="shared" si="3"/>
        <v>11.200000000000001</v>
      </c>
    </row>
    <row r="50" spans="1:9" ht="15.6" x14ac:dyDescent="0.3">
      <c r="A50" s="1">
        <v>200</v>
      </c>
      <c r="B50" s="1">
        <v>20</v>
      </c>
      <c r="C50" s="1">
        <v>374.63010000000003</v>
      </c>
      <c r="D50" s="6">
        <v>11.05</v>
      </c>
      <c r="F50" s="1">
        <f t="shared" si="0"/>
        <v>5.2983173665480363</v>
      </c>
      <c r="G50" s="1">
        <f t="shared" si="1"/>
        <v>2.9957322735539909</v>
      </c>
      <c r="H50" s="1">
        <f t="shared" si="2"/>
        <v>5.9259391391577765</v>
      </c>
      <c r="I50" s="14">
        <f t="shared" si="3"/>
        <v>11.05</v>
      </c>
    </row>
    <row r="51" spans="1:9" ht="15.6" x14ac:dyDescent="0.3">
      <c r="A51" s="1">
        <v>200</v>
      </c>
      <c r="B51" s="1">
        <v>25</v>
      </c>
      <c r="C51" s="1">
        <v>371.11590000000001</v>
      </c>
      <c r="D51" s="6">
        <v>10.9</v>
      </c>
      <c r="F51" s="1">
        <f t="shared" si="0"/>
        <v>5.2983173665480363</v>
      </c>
      <c r="G51" s="1">
        <f t="shared" si="1"/>
        <v>3.2188758248682006</v>
      </c>
      <c r="H51" s="1">
        <f t="shared" si="2"/>
        <v>5.9165144127428855</v>
      </c>
      <c r="I51" s="14">
        <f t="shared" si="3"/>
        <v>10.9</v>
      </c>
    </row>
    <row r="52" spans="1:9" ht="15.6" x14ac:dyDescent="0.3">
      <c r="A52" s="1">
        <v>100</v>
      </c>
      <c r="B52" s="1">
        <v>5</v>
      </c>
      <c r="C52" s="1">
        <v>504.91079999999999</v>
      </c>
      <c r="D52" s="6">
        <v>11.85</v>
      </c>
      <c r="F52" s="1">
        <f t="shared" si="0"/>
        <v>4.6051701859880918</v>
      </c>
      <c r="G52" s="1">
        <f t="shared" si="1"/>
        <v>1.6094379124341003</v>
      </c>
      <c r="H52" s="1">
        <f t="shared" si="2"/>
        <v>6.2243817800104306</v>
      </c>
      <c r="I52" s="14">
        <f t="shared" si="3"/>
        <v>11.85</v>
      </c>
    </row>
    <row r="53" spans="1:9" ht="15.6" x14ac:dyDescent="0.3">
      <c r="A53" s="1">
        <v>100</v>
      </c>
      <c r="B53" s="1">
        <v>10</v>
      </c>
      <c r="C53" s="1">
        <v>505.50599999999997</v>
      </c>
      <c r="D53" s="6">
        <v>11.25</v>
      </c>
      <c r="F53" s="1">
        <f t="shared" si="0"/>
        <v>4.6051701859880918</v>
      </c>
      <c r="G53" s="1">
        <f t="shared" si="1"/>
        <v>2.3025850929940459</v>
      </c>
      <c r="H53" s="1">
        <f t="shared" si="2"/>
        <v>6.2255599078262867</v>
      </c>
      <c r="I53" s="14">
        <f t="shared" si="3"/>
        <v>11.25</v>
      </c>
    </row>
    <row r="54" spans="1:9" ht="15.6" x14ac:dyDescent="0.3">
      <c r="A54" s="1">
        <v>100</v>
      </c>
      <c r="B54" s="1">
        <v>15</v>
      </c>
      <c r="C54" s="1">
        <v>505.98169999999999</v>
      </c>
      <c r="D54" s="6">
        <v>10.95</v>
      </c>
      <c r="F54" s="1">
        <f t="shared" si="0"/>
        <v>4.6051701859880918</v>
      </c>
      <c r="G54" s="1">
        <f t="shared" si="1"/>
        <v>2.7080502011022101</v>
      </c>
      <c r="H54" s="1">
        <f t="shared" si="2"/>
        <v>6.2265005026255542</v>
      </c>
      <c r="I54" s="14">
        <f t="shared" si="3"/>
        <v>10.95</v>
      </c>
    </row>
    <row r="55" spans="1:9" ht="15.6" x14ac:dyDescent="0.3">
      <c r="A55" s="1">
        <v>100</v>
      </c>
      <c r="B55" s="1">
        <v>20</v>
      </c>
      <c r="C55" s="1">
        <v>505.5453</v>
      </c>
      <c r="D55" s="6">
        <v>10.75</v>
      </c>
      <c r="F55" s="1">
        <f t="shared" si="0"/>
        <v>4.6051701859880918</v>
      </c>
      <c r="G55" s="1">
        <f t="shared" si="1"/>
        <v>2.9957322735539909</v>
      </c>
      <c r="H55" s="1">
        <f t="shared" si="2"/>
        <v>6.2256376486887328</v>
      </c>
      <c r="I55" s="14">
        <f t="shared" si="3"/>
        <v>10.75</v>
      </c>
    </row>
    <row r="56" spans="1:9" ht="15.6" x14ac:dyDescent="0.3">
      <c r="A56" s="1">
        <v>100</v>
      </c>
      <c r="B56" s="1">
        <v>25</v>
      </c>
      <c r="C56" s="1">
        <v>509.19479999999999</v>
      </c>
      <c r="D56" s="6">
        <v>10.55</v>
      </c>
      <c r="F56" s="1">
        <f t="shared" si="0"/>
        <v>4.6051701859880918</v>
      </c>
      <c r="G56" s="1">
        <f t="shared" si="1"/>
        <v>3.2188758248682006</v>
      </c>
      <c r="H56" s="1">
        <f t="shared" si="2"/>
        <v>6.2328306545337</v>
      </c>
      <c r="I56" s="14">
        <f t="shared" si="3"/>
        <v>10.55</v>
      </c>
    </row>
    <row r="57" spans="1:9" ht="15.6" x14ac:dyDescent="0.3">
      <c r="A57" s="1">
        <v>125</v>
      </c>
      <c r="B57" s="1">
        <v>5</v>
      </c>
      <c r="C57" s="1">
        <v>498.42509999999999</v>
      </c>
      <c r="D57" s="6">
        <v>12.1</v>
      </c>
      <c r="F57" s="1">
        <f t="shared" si="0"/>
        <v>4.8283137373023015</v>
      </c>
      <c r="G57" s="1">
        <f t="shared" si="1"/>
        <v>1.6094379124341003</v>
      </c>
      <c r="H57" s="1">
        <f t="shared" si="2"/>
        <v>6.2114533273608608</v>
      </c>
      <c r="I57" s="14">
        <f t="shared" si="3"/>
        <v>12.1</v>
      </c>
    </row>
    <row r="58" spans="1:9" ht="15.6" x14ac:dyDescent="0.3">
      <c r="A58" s="1">
        <v>125</v>
      </c>
      <c r="B58" s="1">
        <v>10</v>
      </c>
      <c r="C58" s="1">
        <v>502.7106</v>
      </c>
      <c r="D58" s="6">
        <v>11.55</v>
      </c>
      <c r="F58" s="1">
        <f t="shared" si="0"/>
        <v>4.8283137373023015</v>
      </c>
      <c r="G58" s="1">
        <f t="shared" si="1"/>
        <v>2.3025850929940459</v>
      </c>
      <c r="H58" s="1">
        <f t="shared" si="2"/>
        <v>6.2200146566110917</v>
      </c>
      <c r="I58" s="14">
        <f t="shared" si="3"/>
        <v>11.55</v>
      </c>
    </row>
    <row r="59" spans="1:9" ht="15.6" x14ac:dyDescent="0.3">
      <c r="A59" s="1">
        <v>125</v>
      </c>
      <c r="B59" s="1">
        <v>15</v>
      </c>
      <c r="C59" s="1">
        <v>490.82619999999997</v>
      </c>
      <c r="D59" s="6">
        <v>11.25</v>
      </c>
      <c r="F59" s="1">
        <f t="shared" si="0"/>
        <v>4.8283137373023015</v>
      </c>
      <c r="G59" s="1">
        <f t="shared" si="1"/>
        <v>2.7080502011022101</v>
      </c>
      <c r="H59" s="1">
        <f t="shared" si="2"/>
        <v>6.196090093645064</v>
      </c>
      <c r="I59" s="14">
        <f t="shared" si="3"/>
        <v>11.25</v>
      </c>
    </row>
    <row r="60" spans="1:9" ht="15.6" x14ac:dyDescent="0.3">
      <c r="A60" s="1">
        <v>125</v>
      </c>
      <c r="B60" s="1">
        <v>20</v>
      </c>
      <c r="C60" s="1">
        <v>500.26740000000001</v>
      </c>
      <c r="D60" s="6">
        <v>11.05</v>
      </c>
      <c r="F60" s="1">
        <f t="shared" si="0"/>
        <v>4.8283137373023015</v>
      </c>
      <c r="G60" s="1">
        <f t="shared" si="1"/>
        <v>2.9957322735539909</v>
      </c>
      <c r="H60" s="1">
        <f t="shared" si="2"/>
        <v>6.2151427554676379</v>
      </c>
      <c r="I60" s="14">
        <f t="shared" si="3"/>
        <v>11.05</v>
      </c>
    </row>
    <row r="61" spans="1:9" ht="15.6" x14ac:dyDescent="0.3">
      <c r="A61" s="1">
        <v>125</v>
      </c>
      <c r="B61" s="1">
        <v>25</v>
      </c>
      <c r="C61" s="1">
        <v>502.49889999999999</v>
      </c>
      <c r="D61" s="9">
        <v>10.85</v>
      </c>
      <c r="F61" s="1">
        <f t="shared" si="0"/>
        <v>4.8283137373023015</v>
      </c>
      <c r="G61" s="1">
        <f t="shared" si="1"/>
        <v>3.2188758248682006</v>
      </c>
      <c r="H61" s="1">
        <f t="shared" si="2"/>
        <v>6.2195934508761086</v>
      </c>
      <c r="I61" s="14">
        <f t="shared" si="3"/>
        <v>10.85</v>
      </c>
    </row>
    <row r="62" spans="1:9" x14ac:dyDescent="0.3">
      <c r="A62" s="1">
        <v>150</v>
      </c>
      <c r="B62" s="1">
        <v>5</v>
      </c>
      <c r="C62" s="1">
        <v>508.04450000000003</v>
      </c>
      <c r="D62" s="5">
        <v>12.4</v>
      </c>
      <c r="F62" s="1">
        <f t="shared" si="0"/>
        <v>5.0106352940962555</v>
      </c>
      <c r="G62" s="1">
        <f t="shared" si="1"/>
        <v>1.6094379124341003</v>
      </c>
      <c r="H62" s="1">
        <f t="shared" si="2"/>
        <v>6.2305690421671605</v>
      </c>
      <c r="I62" s="14">
        <f t="shared" si="3"/>
        <v>12.4</v>
      </c>
    </row>
    <row r="63" spans="1:9" x14ac:dyDescent="0.3">
      <c r="A63" s="1">
        <v>150</v>
      </c>
      <c r="B63" s="1">
        <v>10</v>
      </c>
      <c r="C63" s="1">
        <v>509.5566</v>
      </c>
      <c r="D63" s="5">
        <v>11.85</v>
      </c>
      <c r="F63" s="1">
        <f t="shared" si="0"/>
        <v>5.0106352940962555</v>
      </c>
      <c r="G63" s="1">
        <f t="shared" si="1"/>
        <v>2.3025850929940459</v>
      </c>
      <c r="H63" s="1">
        <f t="shared" si="2"/>
        <v>6.2335409357960581</v>
      </c>
      <c r="I63" s="14">
        <f t="shared" si="3"/>
        <v>11.85</v>
      </c>
    </row>
    <row r="64" spans="1:9" x14ac:dyDescent="0.3">
      <c r="A64" s="1">
        <v>150</v>
      </c>
      <c r="B64" s="1">
        <v>15</v>
      </c>
      <c r="C64" s="1">
        <v>505.1798</v>
      </c>
      <c r="D64" s="5">
        <v>11.5</v>
      </c>
      <c r="F64" s="1">
        <f t="shared" si="0"/>
        <v>5.0106352940962555</v>
      </c>
      <c r="G64" s="1">
        <f t="shared" si="1"/>
        <v>2.7080502011022101</v>
      </c>
      <c r="H64" s="1">
        <f t="shared" si="2"/>
        <v>6.2249144055122612</v>
      </c>
      <c r="I64" s="14">
        <f t="shared" si="3"/>
        <v>11.5</v>
      </c>
    </row>
    <row r="65" spans="1:9" x14ac:dyDescent="0.3">
      <c r="A65" s="1">
        <v>150</v>
      </c>
      <c r="B65" s="1">
        <v>20</v>
      </c>
      <c r="C65" s="1">
        <v>510.44</v>
      </c>
      <c r="D65" s="5">
        <v>11.35</v>
      </c>
      <c r="F65" s="1">
        <f t="shared" si="0"/>
        <v>5.0106352940962555</v>
      </c>
      <c r="G65" s="1">
        <f t="shared" si="1"/>
        <v>2.9957322735539909</v>
      </c>
      <c r="H65" s="1">
        <f t="shared" si="2"/>
        <v>6.2352730988657754</v>
      </c>
      <c r="I65" s="14">
        <f t="shared" si="3"/>
        <v>11.35</v>
      </c>
    </row>
    <row r="66" spans="1:9" x14ac:dyDescent="0.3">
      <c r="A66" s="1">
        <v>150</v>
      </c>
      <c r="B66" s="1">
        <v>25</v>
      </c>
      <c r="C66" s="1">
        <v>508.01620000000003</v>
      </c>
      <c r="D66" s="5">
        <v>11.15</v>
      </c>
      <c r="F66" s="1">
        <f t="shared" si="0"/>
        <v>5.0106352940962555</v>
      </c>
      <c r="G66" s="1">
        <f t="shared" si="1"/>
        <v>3.2188758248682006</v>
      </c>
      <c r="H66" s="1">
        <f t="shared" si="2"/>
        <v>6.2305133368337939</v>
      </c>
      <c r="I66" s="14">
        <f t="shared" si="3"/>
        <v>11.15</v>
      </c>
    </row>
    <row r="67" spans="1:9" x14ac:dyDescent="0.3">
      <c r="A67" s="1">
        <v>175</v>
      </c>
      <c r="B67" s="1">
        <v>5</v>
      </c>
      <c r="C67" s="1">
        <v>502.57580000000002</v>
      </c>
      <c r="D67" s="5">
        <v>12.55</v>
      </c>
      <c r="F67" s="1">
        <f t="shared" ref="F67:F76" si="4">LN(A67)</f>
        <v>5.1647859739235145</v>
      </c>
      <c r="G67" s="1">
        <f t="shared" ref="G67:G76" si="5">LN(B67)</f>
        <v>1.6094379124341003</v>
      </c>
      <c r="H67" s="1">
        <f t="shared" ref="H67:H76" si="6">LN(C67)</f>
        <v>6.2197464743282955</v>
      </c>
      <c r="I67" s="14">
        <f t="shared" ref="I67:I76" si="7">D67</f>
        <v>12.55</v>
      </c>
    </row>
    <row r="68" spans="1:9" x14ac:dyDescent="0.3">
      <c r="A68" s="1">
        <v>175</v>
      </c>
      <c r="B68" s="1">
        <v>10</v>
      </c>
      <c r="C68" s="1">
        <v>514.36220000000003</v>
      </c>
      <c r="D68" s="5">
        <v>11.999999999999998</v>
      </c>
      <c r="F68" s="1">
        <f t="shared" si="4"/>
        <v>5.1647859739235145</v>
      </c>
      <c r="G68" s="1">
        <f t="shared" si="5"/>
        <v>2.3025850929940459</v>
      </c>
      <c r="H68" s="1">
        <f t="shared" si="6"/>
        <v>6.242927686553057</v>
      </c>
      <c r="I68" s="14">
        <f t="shared" si="7"/>
        <v>11.999999999999998</v>
      </c>
    </row>
    <row r="69" spans="1:9" x14ac:dyDescent="0.3">
      <c r="A69" s="1">
        <v>175</v>
      </c>
      <c r="B69" s="1">
        <v>15</v>
      </c>
      <c r="C69" s="1">
        <v>499.4939</v>
      </c>
      <c r="D69" s="5">
        <v>11.65</v>
      </c>
      <c r="F69" s="1">
        <f t="shared" si="4"/>
        <v>5.1647859739235145</v>
      </c>
      <c r="G69" s="1">
        <f t="shared" si="5"/>
        <v>2.7080502011022101</v>
      </c>
      <c r="H69" s="1">
        <f t="shared" si="6"/>
        <v>6.2135953858018267</v>
      </c>
      <c r="I69" s="14">
        <f t="shared" si="7"/>
        <v>11.65</v>
      </c>
    </row>
    <row r="70" spans="1:9" x14ac:dyDescent="0.3">
      <c r="A70" s="1">
        <v>175</v>
      </c>
      <c r="B70" s="1">
        <v>20</v>
      </c>
      <c r="C70" s="1">
        <v>509.33229999999998</v>
      </c>
      <c r="D70" s="5">
        <v>11.499999999999998</v>
      </c>
      <c r="F70" s="1">
        <f t="shared" si="4"/>
        <v>5.1647859739235145</v>
      </c>
      <c r="G70" s="1">
        <f t="shared" si="5"/>
        <v>2.9957322735539909</v>
      </c>
      <c r="H70" s="1">
        <f t="shared" si="6"/>
        <v>6.2331006522604868</v>
      </c>
      <c r="I70" s="14">
        <f t="shared" si="7"/>
        <v>11.499999999999998</v>
      </c>
    </row>
    <row r="71" spans="1:9" x14ac:dyDescent="0.3">
      <c r="A71" s="1">
        <v>175</v>
      </c>
      <c r="B71" s="1">
        <v>25</v>
      </c>
      <c r="C71" s="1">
        <v>498.25580000000002</v>
      </c>
      <c r="D71" s="5">
        <v>11.3</v>
      </c>
      <c r="F71" s="1">
        <f t="shared" si="4"/>
        <v>5.1647859739235145</v>
      </c>
      <c r="G71" s="1">
        <f t="shared" si="5"/>
        <v>3.2188758248682006</v>
      </c>
      <c r="H71" s="1">
        <f t="shared" si="6"/>
        <v>6.2111135997677502</v>
      </c>
      <c r="I71" s="14">
        <f t="shared" si="7"/>
        <v>11.3</v>
      </c>
    </row>
    <row r="72" spans="1:9" x14ac:dyDescent="0.3">
      <c r="A72" s="1">
        <v>200</v>
      </c>
      <c r="B72" s="1">
        <v>5</v>
      </c>
      <c r="C72" s="1">
        <v>516.69680000000005</v>
      </c>
      <c r="D72" s="5">
        <v>12.75</v>
      </c>
      <c r="F72" s="1">
        <f t="shared" si="4"/>
        <v>5.2983173665480363</v>
      </c>
      <c r="G72" s="1">
        <f t="shared" si="5"/>
        <v>1.6094379124341003</v>
      </c>
      <c r="H72" s="1">
        <f t="shared" si="6"/>
        <v>6.2474562421251321</v>
      </c>
      <c r="I72" s="14">
        <f t="shared" si="7"/>
        <v>12.75</v>
      </c>
    </row>
    <row r="73" spans="1:9" x14ac:dyDescent="0.3">
      <c r="A73" s="1">
        <v>200</v>
      </c>
      <c r="B73" s="1">
        <v>10</v>
      </c>
      <c r="C73" s="1">
        <v>516.10239999999999</v>
      </c>
      <c r="D73" s="5">
        <v>12.15</v>
      </c>
      <c r="F73" s="1">
        <f t="shared" si="4"/>
        <v>5.2983173665480363</v>
      </c>
      <c r="G73" s="1">
        <f t="shared" si="5"/>
        <v>2.3025850929940459</v>
      </c>
      <c r="H73" s="1">
        <f t="shared" si="6"/>
        <v>6.246305195405446</v>
      </c>
      <c r="I73" s="14">
        <f t="shared" si="7"/>
        <v>12.15</v>
      </c>
    </row>
    <row r="74" spans="1:9" x14ac:dyDescent="0.3">
      <c r="A74" s="1">
        <v>200</v>
      </c>
      <c r="B74" s="1">
        <v>15</v>
      </c>
      <c r="C74" s="1">
        <v>490.02530000000002</v>
      </c>
      <c r="D74" s="5">
        <v>11.75</v>
      </c>
      <c r="F74" s="1">
        <f t="shared" si="4"/>
        <v>5.2983173665480363</v>
      </c>
      <c r="G74" s="1">
        <f t="shared" si="5"/>
        <v>2.7080502011022101</v>
      </c>
      <c r="H74" s="1">
        <f t="shared" si="6"/>
        <v>6.1944570224248139</v>
      </c>
      <c r="I74" s="14">
        <f t="shared" si="7"/>
        <v>11.75</v>
      </c>
    </row>
    <row r="75" spans="1:9" x14ac:dyDescent="0.3">
      <c r="A75" s="1">
        <v>200</v>
      </c>
      <c r="B75" s="1">
        <v>20</v>
      </c>
      <c r="C75" s="1">
        <v>511.48340000000002</v>
      </c>
      <c r="D75" s="5">
        <v>11.65</v>
      </c>
      <c r="F75" s="1">
        <f t="shared" si="4"/>
        <v>5.2983173665480363</v>
      </c>
      <c r="G75" s="1">
        <f t="shared" si="5"/>
        <v>2.9957322735539909</v>
      </c>
      <c r="H75" s="1">
        <f t="shared" si="6"/>
        <v>6.2373151312971151</v>
      </c>
      <c r="I75" s="14">
        <f t="shared" si="7"/>
        <v>11.65</v>
      </c>
    </row>
    <row r="76" spans="1:9" x14ac:dyDescent="0.3">
      <c r="A76" s="1">
        <v>200</v>
      </c>
      <c r="B76" s="1">
        <v>25</v>
      </c>
      <c r="C76" s="1">
        <v>512.10239999999999</v>
      </c>
      <c r="D76" s="5">
        <v>11.5</v>
      </c>
      <c r="F76" s="1">
        <f t="shared" si="4"/>
        <v>5.2983173665480363</v>
      </c>
      <c r="G76" s="1">
        <f t="shared" si="5"/>
        <v>3.2188758248682006</v>
      </c>
      <c r="H76" s="1">
        <f t="shared" si="6"/>
        <v>6.2385246050421737</v>
      </c>
      <c r="I76" s="14">
        <f t="shared" si="7"/>
        <v>11.5</v>
      </c>
    </row>
  </sheetData>
  <mergeCells count="3">
    <mergeCell ref="K29:K31"/>
    <mergeCell ref="L29:L31"/>
    <mergeCell ref="K6:L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17C1E-4AAB-494D-A355-492F519809F2}">
  <dimension ref="A1:S76"/>
  <sheetViews>
    <sheetView topLeftCell="F1" workbookViewId="0">
      <selection activeCell="N7" sqref="N7"/>
    </sheetView>
  </sheetViews>
  <sheetFormatPr defaultRowHeight="14.4" x14ac:dyDescent="0.3"/>
  <cols>
    <col min="1" max="7" width="8.88671875" style="2"/>
    <col min="8" max="8" width="10.44140625" style="2" bestFit="1" customWidth="1"/>
    <col min="11" max="11" width="19.21875" style="2" customWidth="1"/>
    <col min="12" max="12" width="21.44140625" style="2" bestFit="1" customWidth="1"/>
    <col min="13" max="13" width="18.77734375" style="2" customWidth="1"/>
    <col min="14" max="14" width="15.109375" style="2" customWidth="1"/>
    <col min="15" max="15" width="12" style="2" bestFit="1" customWidth="1"/>
    <col min="16" max="16" width="13.44140625" style="2" bestFit="1" customWidth="1"/>
    <col min="17" max="17" width="10.88671875" style="2" bestFit="1" customWidth="1"/>
    <col min="18" max="19" width="12.44140625" style="2" bestFit="1" customWidth="1"/>
  </cols>
  <sheetData>
    <row r="1" spans="1:19" x14ac:dyDescent="0.3">
      <c r="A1" s="5" t="s">
        <v>0</v>
      </c>
      <c r="B1" s="5" t="s">
        <v>1</v>
      </c>
      <c r="C1" s="5" t="s">
        <v>2</v>
      </c>
      <c r="D1" s="5" t="s">
        <v>3</v>
      </c>
      <c r="E1" s="11"/>
      <c r="F1" s="5" t="s">
        <v>38</v>
      </c>
      <c r="G1" s="5" t="s">
        <v>39</v>
      </c>
      <c r="H1" s="5" t="s">
        <v>40</v>
      </c>
      <c r="I1" s="5" t="s">
        <v>3</v>
      </c>
    </row>
    <row r="2" spans="1:19" ht="15.6" x14ac:dyDescent="0.3">
      <c r="A2" s="1">
        <v>100</v>
      </c>
      <c r="B2" s="1">
        <v>5</v>
      </c>
      <c r="C2" s="6">
        <v>252.7936</v>
      </c>
      <c r="D2" s="1">
        <v>11.05</v>
      </c>
      <c r="F2" s="1">
        <f>LN(A2)</f>
        <v>4.6051701859880918</v>
      </c>
      <c r="G2" s="1">
        <f t="shared" ref="G2:H2" si="0">LN(B2)</f>
        <v>1.6094379124341003</v>
      </c>
      <c r="H2" s="1">
        <f t="shared" si="0"/>
        <v>5.5325733454965391</v>
      </c>
      <c r="I2" s="10">
        <f>D2</f>
        <v>11.05</v>
      </c>
    </row>
    <row r="3" spans="1:19" ht="15.6" x14ac:dyDescent="0.3">
      <c r="A3" s="1">
        <v>100</v>
      </c>
      <c r="B3" s="1">
        <v>10</v>
      </c>
      <c r="C3" s="6">
        <v>249.3304</v>
      </c>
      <c r="D3" s="1">
        <v>9.75</v>
      </c>
      <c r="F3" s="1">
        <f t="shared" ref="F3:F66" si="1">LN(A3)</f>
        <v>4.6051701859880918</v>
      </c>
      <c r="G3" s="1">
        <f t="shared" ref="G3:G66" si="2">LN(B3)</f>
        <v>2.3025850929940459</v>
      </c>
      <c r="H3" s="1">
        <f t="shared" ref="H3:H66" si="3">LN(C3)</f>
        <v>5.5187789245312802</v>
      </c>
      <c r="I3" s="10">
        <f t="shared" ref="I3:I66" si="4">D3</f>
        <v>9.75</v>
      </c>
    </row>
    <row r="4" spans="1:19" ht="15.6" x14ac:dyDescent="0.3">
      <c r="A4" s="1">
        <v>100</v>
      </c>
      <c r="B4" s="1">
        <v>15</v>
      </c>
      <c r="C4" s="6">
        <v>247.8348</v>
      </c>
      <c r="D4" s="1">
        <v>9.4499999999999993</v>
      </c>
      <c r="F4" s="1">
        <f t="shared" si="1"/>
        <v>4.6051701859880918</v>
      </c>
      <c r="G4" s="1">
        <f t="shared" si="2"/>
        <v>2.7080502011022101</v>
      </c>
      <c r="H4" s="1">
        <f t="shared" si="3"/>
        <v>5.5127623951702045</v>
      </c>
      <c r="I4" s="10">
        <f t="shared" si="4"/>
        <v>9.4499999999999993</v>
      </c>
      <c r="K4" t="s">
        <v>4</v>
      </c>
      <c r="L4"/>
      <c r="M4"/>
      <c r="N4"/>
      <c r="O4"/>
      <c r="P4"/>
      <c r="Q4"/>
      <c r="R4"/>
      <c r="S4"/>
    </row>
    <row r="5" spans="1:19" ht="15.6" x14ac:dyDescent="0.3">
      <c r="A5" s="1">
        <v>100</v>
      </c>
      <c r="B5" s="1">
        <v>20</v>
      </c>
      <c r="C5" s="6">
        <v>247.85429999999999</v>
      </c>
      <c r="D5" s="1">
        <v>9.35</v>
      </c>
      <c r="F5" s="1">
        <f t="shared" si="1"/>
        <v>4.6051701859880918</v>
      </c>
      <c r="G5" s="1">
        <f t="shared" si="2"/>
        <v>2.9957322735539909</v>
      </c>
      <c r="H5" s="1">
        <f t="shared" si="3"/>
        <v>5.5128410735192341</v>
      </c>
      <c r="I5" s="10">
        <f t="shared" si="4"/>
        <v>9.35</v>
      </c>
      <c r="K5"/>
      <c r="L5"/>
      <c r="M5"/>
      <c r="N5"/>
      <c r="O5"/>
      <c r="P5"/>
      <c r="Q5"/>
      <c r="R5"/>
      <c r="S5"/>
    </row>
    <row r="6" spans="1:19" ht="15.6" x14ac:dyDescent="0.3">
      <c r="A6" s="1">
        <v>100</v>
      </c>
      <c r="B6" s="1">
        <v>25</v>
      </c>
      <c r="C6" s="6">
        <v>252.3175</v>
      </c>
      <c r="D6" s="1">
        <v>9.3000000000000007</v>
      </c>
      <c r="F6" s="1">
        <f t="shared" si="1"/>
        <v>4.6051701859880918</v>
      </c>
      <c r="G6" s="1">
        <f t="shared" si="2"/>
        <v>3.2188758248682006</v>
      </c>
      <c r="H6" s="1">
        <f t="shared" si="3"/>
        <v>5.5306882151123773</v>
      </c>
      <c r="I6" s="10">
        <f t="shared" si="4"/>
        <v>9.3000000000000007</v>
      </c>
      <c r="K6" s="12" t="s">
        <v>5</v>
      </c>
      <c r="L6" s="12"/>
      <c r="M6"/>
      <c r="N6"/>
      <c r="O6"/>
      <c r="P6"/>
      <c r="Q6"/>
      <c r="R6"/>
      <c r="S6"/>
    </row>
    <row r="7" spans="1:19" ht="15.6" x14ac:dyDescent="0.3">
      <c r="A7" s="1">
        <v>125</v>
      </c>
      <c r="B7" s="1">
        <v>5</v>
      </c>
      <c r="C7" s="6">
        <v>258.6345</v>
      </c>
      <c r="D7" s="1">
        <v>11.5</v>
      </c>
      <c r="F7" s="1">
        <f t="shared" si="1"/>
        <v>4.8283137373023015</v>
      </c>
      <c r="G7" s="1">
        <f t="shared" si="2"/>
        <v>1.6094379124341003</v>
      </c>
      <c r="H7" s="1">
        <f t="shared" si="3"/>
        <v>5.5554158681121981</v>
      </c>
      <c r="I7" s="10">
        <f t="shared" si="4"/>
        <v>11.5</v>
      </c>
      <c r="K7" s="10" t="s">
        <v>6</v>
      </c>
      <c r="L7" s="13">
        <v>0.97793956305488705</v>
      </c>
      <c r="M7"/>
      <c r="N7"/>
      <c r="O7"/>
      <c r="P7"/>
      <c r="Q7"/>
      <c r="R7"/>
      <c r="S7"/>
    </row>
    <row r="8" spans="1:19" ht="15.6" x14ac:dyDescent="0.3">
      <c r="A8" s="1">
        <v>125</v>
      </c>
      <c r="B8" s="1">
        <v>10</v>
      </c>
      <c r="C8" s="6">
        <v>259.22250000000003</v>
      </c>
      <c r="D8" s="1">
        <v>10.15</v>
      </c>
      <c r="F8" s="1">
        <f t="shared" si="1"/>
        <v>4.8283137373023015</v>
      </c>
      <c r="G8" s="1">
        <f t="shared" si="2"/>
        <v>2.3025850929940459</v>
      </c>
      <c r="H8" s="1">
        <f t="shared" si="3"/>
        <v>5.5576867662662908</v>
      </c>
      <c r="I8" s="10">
        <f t="shared" si="4"/>
        <v>10.15</v>
      </c>
      <c r="K8" s="10" t="s">
        <v>7</v>
      </c>
      <c r="L8" s="13">
        <v>0.95636578898798341</v>
      </c>
      <c r="M8"/>
      <c r="N8"/>
      <c r="O8"/>
      <c r="P8"/>
      <c r="Q8"/>
      <c r="R8"/>
      <c r="S8"/>
    </row>
    <row r="9" spans="1:19" ht="15.6" x14ac:dyDescent="0.3">
      <c r="A9" s="1">
        <v>125</v>
      </c>
      <c r="B9" s="1">
        <v>15</v>
      </c>
      <c r="C9" s="6">
        <v>246.9915</v>
      </c>
      <c r="D9" s="1">
        <v>9.8000000000000007</v>
      </c>
      <c r="F9" s="1">
        <f t="shared" si="1"/>
        <v>4.8283137373023015</v>
      </c>
      <c r="G9" s="1">
        <f t="shared" si="2"/>
        <v>2.7080502011022101</v>
      </c>
      <c r="H9" s="1">
        <f t="shared" si="3"/>
        <v>5.5093539230803721</v>
      </c>
      <c r="I9" s="10">
        <f t="shared" si="4"/>
        <v>9.8000000000000007</v>
      </c>
      <c r="K9" s="10" t="s">
        <v>8</v>
      </c>
      <c r="L9" s="13">
        <v>0.95452208993113752</v>
      </c>
      <c r="M9"/>
      <c r="N9"/>
      <c r="O9"/>
      <c r="P9"/>
      <c r="Q9"/>
      <c r="R9"/>
      <c r="S9"/>
    </row>
    <row r="10" spans="1:19" ht="15.6" x14ac:dyDescent="0.3">
      <c r="A10" s="1">
        <v>125</v>
      </c>
      <c r="B10" s="1">
        <v>20</v>
      </c>
      <c r="C10" s="6">
        <v>250.196</v>
      </c>
      <c r="D10" s="1">
        <v>9.65</v>
      </c>
      <c r="F10" s="1">
        <f t="shared" si="1"/>
        <v>4.8283137373023015</v>
      </c>
      <c r="G10" s="1">
        <f t="shared" si="2"/>
        <v>2.9957322735539909</v>
      </c>
      <c r="H10" s="1">
        <f t="shared" si="3"/>
        <v>5.5222446106947825</v>
      </c>
      <c r="I10" s="10">
        <f t="shared" si="4"/>
        <v>9.65</v>
      </c>
      <c r="K10" s="10" t="s">
        <v>9</v>
      </c>
      <c r="L10" s="14">
        <v>0.22469210911329263</v>
      </c>
      <c r="M10"/>
      <c r="N10"/>
      <c r="O10"/>
      <c r="P10"/>
      <c r="Q10"/>
      <c r="R10"/>
      <c r="S10"/>
    </row>
    <row r="11" spans="1:19" ht="15.6" x14ac:dyDescent="0.3">
      <c r="A11" s="1">
        <v>125</v>
      </c>
      <c r="B11" s="1">
        <v>25</v>
      </c>
      <c r="C11" s="6">
        <v>253.11170000000001</v>
      </c>
      <c r="D11" s="1">
        <v>9.6</v>
      </c>
      <c r="F11" s="1">
        <f t="shared" si="1"/>
        <v>4.8283137373023015</v>
      </c>
      <c r="G11" s="1">
        <f t="shared" si="2"/>
        <v>3.2188758248682006</v>
      </c>
      <c r="H11" s="1">
        <f t="shared" si="3"/>
        <v>5.5338308932704843</v>
      </c>
      <c r="I11" s="10">
        <f t="shared" si="4"/>
        <v>9.6</v>
      </c>
      <c r="K11" s="10" t="s">
        <v>10</v>
      </c>
      <c r="L11" s="10">
        <v>75</v>
      </c>
      <c r="M11"/>
      <c r="N11"/>
      <c r="O11"/>
      <c r="P11"/>
      <c r="Q11"/>
      <c r="R11"/>
      <c r="S11"/>
    </row>
    <row r="12" spans="1:19" ht="15.6" x14ac:dyDescent="0.3">
      <c r="A12" s="1">
        <v>150</v>
      </c>
      <c r="B12" s="1">
        <v>5</v>
      </c>
      <c r="C12" s="6">
        <v>251.7227</v>
      </c>
      <c r="D12" s="1">
        <v>11.7</v>
      </c>
      <c r="F12" s="1">
        <f t="shared" si="1"/>
        <v>5.0106352940962555</v>
      </c>
      <c r="G12" s="1">
        <f t="shared" si="2"/>
        <v>1.6094379124341003</v>
      </c>
      <c r="H12" s="1">
        <f t="shared" si="3"/>
        <v>5.5283280848049259</v>
      </c>
      <c r="I12" s="10">
        <f t="shared" si="4"/>
        <v>11.7</v>
      </c>
      <c r="K12"/>
      <c r="L12"/>
      <c r="M12"/>
      <c r="N12"/>
      <c r="O12"/>
      <c r="P12"/>
      <c r="Q12"/>
      <c r="R12"/>
      <c r="S12"/>
    </row>
    <row r="13" spans="1:19" ht="15.6" x14ac:dyDescent="0.3">
      <c r="A13" s="1">
        <v>150</v>
      </c>
      <c r="B13" s="1">
        <v>10</v>
      </c>
      <c r="C13" s="7">
        <v>246.6626</v>
      </c>
      <c r="D13" s="1">
        <v>10.399999999999999</v>
      </c>
      <c r="F13" s="1">
        <f t="shared" si="1"/>
        <v>5.0106352940962555</v>
      </c>
      <c r="G13" s="1">
        <f t="shared" si="2"/>
        <v>2.3025850929940459</v>
      </c>
      <c r="H13" s="1">
        <f t="shared" si="3"/>
        <v>5.5080214109077152</v>
      </c>
      <c r="I13" s="10">
        <f t="shared" si="4"/>
        <v>10.399999999999999</v>
      </c>
      <c r="K13" t="s">
        <v>11</v>
      </c>
      <c r="L13"/>
      <c r="M13"/>
      <c r="N13"/>
      <c r="O13"/>
      <c r="P13"/>
      <c r="Q13"/>
      <c r="R13"/>
      <c r="S13"/>
    </row>
    <row r="14" spans="1:19" ht="15.6" x14ac:dyDescent="0.3">
      <c r="A14" s="1">
        <v>150</v>
      </c>
      <c r="B14" s="1">
        <v>15</v>
      </c>
      <c r="C14" s="6">
        <v>255.47389999999999</v>
      </c>
      <c r="D14" s="1">
        <v>10.099999999999998</v>
      </c>
      <c r="F14" s="1">
        <f t="shared" si="1"/>
        <v>5.0106352940962555</v>
      </c>
      <c r="G14" s="1">
        <f t="shared" si="2"/>
        <v>2.7080502011022101</v>
      </c>
      <c r="H14" s="1">
        <f t="shared" si="3"/>
        <v>5.543120251783944</v>
      </c>
      <c r="I14" s="10">
        <f t="shared" si="4"/>
        <v>10.099999999999998</v>
      </c>
      <c r="K14" s="19"/>
      <c r="L14" s="19" t="s">
        <v>12</v>
      </c>
      <c r="M14" s="19" t="s">
        <v>13</v>
      </c>
      <c r="N14" s="19" t="s">
        <v>14</v>
      </c>
      <c r="O14" s="19" t="s">
        <v>15</v>
      </c>
      <c r="P14" s="19" t="s">
        <v>16</v>
      </c>
      <c r="Q14" s="28"/>
      <c r="R14" s="28"/>
      <c r="S14" s="28"/>
    </row>
    <row r="15" spans="1:19" ht="15.6" x14ac:dyDescent="0.3">
      <c r="A15" s="1">
        <v>150</v>
      </c>
      <c r="B15" s="1">
        <v>20</v>
      </c>
      <c r="C15" s="6">
        <v>253.12979999999999</v>
      </c>
      <c r="D15" s="1">
        <v>9.85</v>
      </c>
      <c r="F15" s="1">
        <f t="shared" si="1"/>
        <v>5.0106352940962555</v>
      </c>
      <c r="G15" s="1">
        <f t="shared" si="2"/>
        <v>2.9957322735539909</v>
      </c>
      <c r="H15" s="1">
        <f t="shared" si="3"/>
        <v>5.5339024006439717</v>
      </c>
      <c r="I15" s="10">
        <f t="shared" si="4"/>
        <v>9.85</v>
      </c>
      <c r="K15" s="3" t="s">
        <v>17</v>
      </c>
      <c r="L15" s="3">
        <v>3</v>
      </c>
      <c r="M15" s="26">
        <v>78.565322049924319</v>
      </c>
      <c r="N15" s="26">
        <v>26.188440683308105</v>
      </c>
      <c r="O15" s="26">
        <v>518.72120096657613</v>
      </c>
      <c r="P15" s="26">
        <v>3.4400159471293534E-48</v>
      </c>
      <c r="Q15" s="28"/>
      <c r="R15" s="28"/>
      <c r="S15" s="28"/>
    </row>
    <row r="16" spans="1:19" ht="15.6" x14ac:dyDescent="0.3">
      <c r="A16" s="1">
        <v>150</v>
      </c>
      <c r="B16" s="1">
        <v>25</v>
      </c>
      <c r="C16" s="6">
        <v>255.33430000000001</v>
      </c>
      <c r="D16" s="1">
        <v>9.8000000000000007</v>
      </c>
      <c r="F16" s="1">
        <f t="shared" si="1"/>
        <v>5.0106352940962555</v>
      </c>
      <c r="G16" s="1">
        <f t="shared" si="2"/>
        <v>3.2188758248682006</v>
      </c>
      <c r="H16" s="1">
        <f t="shared" si="3"/>
        <v>5.5425736669660983</v>
      </c>
      <c r="I16" s="10">
        <f t="shared" si="4"/>
        <v>9.8000000000000007</v>
      </c>
      <c r="K16" s="3" t="s">
        <v>18</v>
      </c>
      <c r="L16" s="3">
        <v>71</v>
      </c>
      <c r="M16" s="26">
        <v>3.5845446167423662</v>
      </c>
      <c r="N16" s="26">
        <v>5.0486543897779804E-2</v>
      </c>
      <c r="O16" s="26"/>
      <c r="P16" s="26"/>
      <c r="Q16" s="28"/>
      <c r="R16" s="28"/>
      <c r="S16" s="28"/>
    </row>
    <row r="17" spans="1:19" ht="15.6" x14ac:dyDescent="0.3">
      <c r="A17" s="1">
        <v>175</v>
      </c>
      <c r="B17" s="1">
        <v>5</v>
      </c>
      <c r="C17" s="6">
        <v>256.84710000000001</v>
      </c>
      <c r="D17" s="1">
        <v>11.899999999999999</v>
      </c>
      <c r="F17" s="1">
        <f t="shared" si="1"/>
        <v>5.1647859739235145</v>
      </c>
      <c r="G17" s="1">
        <f t="shared" si="2"/>
        <v>1.6094379124341003</v>
      </c>
      <c r="H17" s="1">
        <f t="shared" si="3"/>
        <v>5.5484809662129786</v>
      </c>
      <c r="I17" s="10">
        <f t="shared" si="4"/>
        <v>11.899999999999999</v>
      </c>
      <c r="K17" s="3" t="s">
        <v>19</v>
      </c>
      <c r="L17" s="3">
        <v>74</v>
      </c>
      <c r="M17" s="26">
        <v>82.149866666666682</v>
      </c>
      <c r="N17" s="26"/>
      <c r="O17" s="26"/>
      <c r="P17" s="26"/>
      <c r="Q17" s="28"/>
      <c r="R17" s="28"/>
      <c r="S17" s="28"/>
    </row>
    <row r="18" spans="1:19" ht="15.6" x14ac:dyDescent="0.3">
      <c r="A18" s="1">
        <v>175</v>
      </c>
      <c r="B18" s="1">
        <v>10</v>
      </c>
      <c r="C18" s="6">
        <v>247.36170000000001</v>
      </c>
      <c r="D18" s="1">
        <v>10.649999999999997</v>
      </c>
      <c r="F18" s="1">
        <f t="shared" si="1"/>
        <v>5.1647859739235145</v>
      </c>
      <c r="G18" s="1">
        <f t="shared" si="2"/>
        <v>2.3025850929940459</v>
      </c>
      <c r="H18" s="1">
        <f t="shared" si="3"/>
        <v>5.5108516379498269</v>
      </c>
      <c r="I18" s="10">
        <f t="shared" si="4"/>
        <v>10.649999999999997</v>
      </c>
      <c r="K18" s="28"/>
      <c r="L18" s="28"/>
      <c r="M18" s="28"/>
      <c r="N18" s="28"/>
      <c r="O18" s="28"/>
      <c r="P18" s="28"/>
      <c r="Q18" s="28"/>
      <c r="R18" s="28"/>
      <c r="S18" s="28"/>
    </row>
    <row r="19" spans="1:19" ht="15.6" x14ac:dyDescent="0.3">
      <c r="A19" s="1">
        <v>175</v>
      </c>
      <c r="B19" s="1">
        <v>15</v>
      </c>
      <c r="C19" s="6">
        <v>244.1498</v>
      </c>
      <c r="D19" s="1">
        <v>10.199999999999996</v>
      </c>
      <c r="F19" s="1">
        <f t="shared" si="1"/>
        <v>5.1647859739235145</v>
      </c>
      <c r="G19" s="1">
        <f t="shared" si="2"/>
        <v>2.7080502011022101</v>
      </c>
      <c r="H19" s="1">
        <f t="shared" si="3"/>
        <v>5.4977819713387897</v>
      </c>
      <c r="I19" s="10">
        <f t="shared" si="4"/>
        <v>10.199999999999996</v>
      </c>
      <c r="K19" s="25"/>
      <c r="L19" s="25" t="s">
        <v>20</v>
      </c>
      <c r="M19" s="25" t="s">
        <v>9</v>
      </c>
      <c r="N19" s="25" t="s">
        <v>21</v>
      </c>
      <c r="O19" s="25" t="s">
        <v>22</v>
      </c>
      <c r="P19" s="25" t="s">
        <v>23</v>
      </c>
      <c r="Q19" s="25" t="s">
        <v>24</v>
      </c>
      <c r="R19" s="25" t="s">
        <v>25</v>
      </c>
      <c r="S19" s="25" t="s">
        <v>26</v>
      </c>
    </row>
    <row r="20" spans="1:19" ht="15.6" x14ac:dyDescent="0.3">
      <c r="A20" s="1">
        <v>175</v>
      </c>
      <c r="B20" s="1">
        <v>20</v>
      </c>
      <c r="C20" s="6">
        <v>255.5052</v>
      </c>
      <c r="D20" s="1">
        <v>10.049999999999999</v>
      </c>
      <c r="F20" s="1">
        <f t="shared" si="1"/>
        <v>5.1647859739235145</v>
      </c>
      <c r="G20" s="1">
        <f t="shared" si="2"/>
        <v>2.9957322735539909</v>
      </c>
      <c r="H20" s="1">
        <f t="shared" si="3"/>
        <v>5.5432427616871438</v>
      </c>
      <c r="I20" s="10">
        <f t="shared" si="4"/>
        <v>10.049999999999999</v>
      </c>
      <c r="K20" s="26" t="s">
        <v>27</v>
      </c>
      <c r="L20" s="29">
        <v>-3.9770243283200717</v>
      </c>
      <c r="M20" s="29">
        <v>0.76538241451726763</v>
      </c>
      <c r="N20" s="29">
        <v>-5.196127129244811</v>
      </c>
      <c r="O20" s="29">
        <v>1.868247640814913E-6</v>
      </c>
      <c r="P20" s="29">
        <v>-5.50315351761245</v>
      </c>
      <c r="Q20" s="29">
        <v>-2.4508951390276934</v>
      </c>
      <c r="R20" s="29">
        <v>-5.50315351761245</v>
      </c>
      <c r="S20" s="29">
        <v>-2.4508951390276934</v>
      </c>
    </row>
    <row r="21" spans="1:19" ht="15.6" x14ac:dyDescent="0.3">
      <c r="A21" s="1">
        <v>175</v>
      </c>
      <c r="B21" s="1">
        <v>25</v>
      </c>
      <c r="C21" s="6">
        <v>254.6301</v>
      </c>
      <c r="D21" s="1">
        <v>9.9500000000000011</v>
      </c>
      <c r="F21" s="1">
        <f t="shared" si="1"/>
        <v>5.1647859739235145</v>
      </c>
      <c r="G21" s="1">
        <f t="shared" si="2"/>
        <v>3.2188758248682006</v>
      </c>
      <c r="H21" s="1">
        <f t="shared" si="3"/>
        <v>5.5398119038014642</v>
      </c>
      <c r="I21" s="10">
        <f t="shared" si="4"/>
        <v>9.9500000000000011</v>
      </c>
      <c r="K21" s="26" t="s">
        <v>38</v>
      </c>
      <c r="L21" s="29">
        <v>1.4525846147472425</v>
      </c>
      <c r="M21" s="29">
        <v>0.10593818456076498</v>
      </c>
      <c r="N21" s="29">
        <v>13.711624573989711</v>
      </c>
      <c r="O21" s="29">
        <v>1.2278510518887094E-21</v>
      </c>
      <c r="P21" s="29">
        <v>1.2413498742406992</v>
      </c>
      <c r="Q21" s="29">
        <v>1.6638193552537859</v>
      </c>
      <c r="R21" s="29">
        <v>1.2413498742406992</v>
      </c>
      <c r="S21" s="29">
        <v>1.6638193552537859</v>
      </c>
    </row>
    <row r="22" spans="1:19" ht="15.6" x14ac:dyDescent="0.3">
      <c r="A22" s="1">
        <v>200</v>
      </c>
      <c r="B22" s="1">
        <v>5</v>
      </c>
      <c r="C22" s="6">
        <v>252.77449999999999</v>
      </c>
      <c r="D22" s="1">
        <v>12</v>
      </c>
      <c r="F22" s="1">
        <f t="shared" si="1"/>
        <v>5.2983173665480363</v>
      </c>
      <c r="G22" s="1">
        <f t="shared" si="2"/>
        <v>1.6094379124341003</v>
      </c>
      <c r="H22" s="1">
        <f t="shared" si="3"/>
        <v>5.5324977869317919</v>
      </c>
      <c r="I22" s="10">
        <f t="shared" si="4"/>
        <v>12</v>
      </c>
      <c r="K22" s="26" t="s">
        <v>39</v>
      </c>
      <c r="L22" s="29">
        <v>-1.3943317064355147</v>
      </c>
      <c r="M22" s="29">
        <v>4.5644805631835893E-2</v>
      </c>
      <c r="N22" s="29">
        <v>-30.547434415253811</v>
      </c>
      <c r="O22" s="29">
        <v>1.4000400251339835E-42</v>
      </c>
      <c r="P22" s="29">
        <v>-1.4853448639017166</v>
      </c>
      <c r="Q22" s="29">
        <v>-1.3033185489693129</v>
      </c>
      <c r="R22" s="29">
        <v>-1.4853448639017166</v>
      </c>
      <c r="S22" s="29">
        <v>-1.3033185489693129</v>
      </c>
    </row>
    <row r="23" spans="1:19" ht="15.6" x14ac:dyDescent="0.3">
      <c r="A23" s="1">
        <v>200</v>
      </c>
      <c r="B23" s="1">
        <v>10</v>
      </c>
      <c r="C23" s="6">
        <v>247.7362</v>
      </c>
      <c r="D23" s="1">
        <v>10.799999999999999</v>
      </c>
      <c r="F23" s="1">
        <f t="shared" si="1"/>
        <v>5.2983173665480363</v>
      </c>
      <c r="G23" s="1">
        <f t="shared" si="2"/>
        <v>2.3025850929940459</v>
      </c>
      <c r="H23" s="1">
        <f t="shared" si="3"/>
        <v>5.512364470346915</v>
      </c>
      <c r="I23" s="10">
        <f t="shared" si="4"/>
        <v>10.799999999999999</v>
      </c>
      <c r="K23" s="26" t="s">
        <v>40</v>
      </c>
      <c r="L23" s="29">
        <v>1.9221808306300514</v>
      </c>
      <c r="M23" s="29">
        <v>9.1628285573864432E-2</v>
      </c>
      <c r="N23" s="29">
        <v>20.978028985170972</v>
      </c>
      <c r="O23" s="29">
        <v>3.7557015949701542E-32</v>
      </c>
      <c r="P23" s="29">
        <v>1.7394792183029792</v>
      </c>
      <c r="Q23" s="29">
        <v>2.1048824429571233</v>
      </c>
      <c r="R23" s="29">
        <v>1.7394792183029792</v>
      </c>
      <c r="S23" s="29">
        <v>2.1048824429571233</v>
      </c>
    </row>
    <row r="24" spans="1:19" ht="15.6" x14ac:dyDescent="0.3">
      <c r="A24" s="1">
        <v>200</v>
      </c>
      <c r="B24" s="1">
        <v>15</v>
      </c>
      <c r="C24" s="6">
        <v>255.81659999999999</v>
      </c>
      <c r="D24" s="1">
        <v>10.399999999999999</v>
      </c>
      <c r="F24" s="1">
        <f t="shared" si="1"/>
        <v>5.2983173665480363</v>
      </c>
      <c r="G24" s="1">
        <f t="shared" si="2"/>
        <v>2.7080502011022101</v>
      </c>
      <c r="H24" s="1">
        <f t="shared" si="3"/>
        <v>5.5444607814879765</v>
      </c>
      <c r="I24" s="10">
        <f t="shared" si="4"/>
        <v>10.399999999999999</v>
      </c>
      <c r="K24" s="28"/>
      <c r="L24" s="28"/>
      <c r="M24" s="28"/>
      <c r="N24" s="28"/>
      <c r="O24" s="28"/>
      <c r="P24" s="28"/>
      <c r="Q24" s="28"/>
      <c r="R24" s="28"/>
      <c r="S24" s="28"/>
    </row>
    <row r="25" spans="1:19" ht="15.6" x14ac:dyDescent="0.3">
      <c r="A25" s="1">
        <v>200</v>
      </c>
      <c r="B25" s="1">
        <v>20</v>
      </c>
      <c r="C25" s="7">
        <v>244.13460000000001</v>
      </c>
      <c r="D25" s="1">
        <v>10.15</v>
      </c>
      <c r="F25" s="1">
        <f t="shared" si="1"/>
        <v>5.2983173665480363</v>
      </c>
      <c r="G25" s="1">
        <f t="shared" si="2"/>
        <v>2.9957322735539909</v>
      </c>
      <c r="H25" s="1">
        <f t="shared" si="3"/>
        <v>5.4977197125404134</v>
      </c>
      <c r="I25" s="10">
        <f t="shared" si="4"/>
        <v>10.15</v>
      </c>
      <c r="K25" s="28"/>
      <c r="L25" s="28"/>
      <c r="M25" s="28"/>
      <c r="N25" s="28"/>
      <c r="O25" s="28"/>
      <c r="P25" s="28"/>
      <c r="Q25" s="28"/>
      <c r="R25" s="28"/>
      <c r="S25" s="28"/>
    </row>
    <row r="26" spans="1:19" ht="15.6" x14ac:dyDescent="0.3">
      <c r="A26" s="1">
        <v>200</v>
      </c>
      <c r="B26" s="1">
        <v>25</v>
      </c>
      <c r="C26" s="6">
        <v>255.4931</v>
      </c>
      <c r="D26" s="1">
        <v>10.100000000000001</v>
      </c>
      <c r="F26" s="1">
        <f t="shared" si="1"/>
        <v>5.2983173665480363</v>
      </c>
      <c r="G26" s="1">
        <f t="shared" si="2"/>
        <v>3.2188758248682006</v>
      </c>
      <c r="H26" s="1">
        <f t="shared" si="3"/>
        <v>5.5431954034082525</v>
      </c>
      <c r="I26" s="10">
        <f t="shared" si="4"/>
        <v>10.100000000000001</v>
      </c>
      <c r="K26" s="26" t="s">
        <v>44</v>
      </c>
      <c r="L26" s="3" t="s">
        <v>29</v>
      </c>
      <c r="M26" s="3" t="s">
        <v>41</v>
      </c>
      <c r="N26" s="3" t="s">
        <v>42</v>
      </c>
      <c r="O26" s="3" t="s">
        <v>43</v>
      </c>
      <c r="P26" s="28"/>
      <c r="Q26" s="28"/>
      <c r="R26" s="28"/>
      <c r="S26" s="28"/>
    </row>
    <row r="27" spans="1:19" ht="15.6" x14ac:dyDescent="0.3">
      <c r="A27" s="1">
        <v>100</v>
      </c>
      <c r="B27" s="1">
        <v>5</v>
      </c>
      <c r="C27" s="6">
        <v>375.52019999999999</v>
      </c>
      <c r="D27" s="1">
        <v>12.05</v>
      </c>
      <c r="F27" s="1">
        <f t="shared" si="1"/>
        <v>4.6051701859880918</v>
      </c>
      <c r="G27" s="1">
        <f t="shared" si="2"/>
        <v>1.6094379124341003</v>
      </c>
      <c r="H27" s="1">
        <f t="shared" si="3"/>
        <v>5.9283122646973734</v>
      </c>
      <c r="I27" s="10">
        <f t="shared" si="4"/>
        <v>12.05</v>
      </c>
      <c r="K27" s="3" t="s">
        <v>30</v>
      </c>
      <c r="L27" s="3" t="s">
        <v>31</v>
      </c>
      <c r="M27" s="3">
        <v>3.1949999999999999E-2</v>
      </c>
      <c r="N27" s="27">
        <v>0.01</v>
      </c>
      <c r="O27" s="3" t="s">
        <v>37</v>
      </c>
      <c r="P27" s="28"/>
      <c r="Q27" s="28"/>
      <c r="R27" s="28"/>
      <c r="S27" s="28"/>
    </row>
    <row r="28" spans="1:19" ht="15.6" x14ac:dyDescent="0.3">
      <c r="A28" s="1">
        <v>100</v>
      </c>
      <c r="B28" s="1">
        <v>10</v>
      </c>
      <c r="C28" s="6">
        <v>364.91219999999998</v>
      </c>
      <c r="D28" s="1">
        <v>10.45</v>
      </c>
      <c r="F28" s="1">
        <f t="shared" si="1"/>
        <v>4.6051701859880918</v>
      </c>
      <c r="G28" s="1">
        <f t="shared" si="2"/>
        <v>2.3025850929940459</v>
      </c>
      <c r="H28" s="1">
        <f t="shared" si="3"/>
        <v>5.8996567767009882</v>
      </c>
      <c r="I28" s="10">
        <f t="shared" si="4"/>
        <v>10.45</v>
      </c>
      <c r="K28" s="3" t="s">
        <v>32</v>
      </c>
      <c r="L28" s="3" t="s">
        <v>33</v>
      </c>
      <c r="M28" s="3">
        <v>9.8130000000000005E-3</v>
      </c>
      <c r="N28" s="27">
        <v>0.01</v>
      </c>
      <c r="O28" s="3" t="s">
        <v>37</v>
      </c>
      <c r="P28" s="28"/>
      <c r="Q28" s="28"/>
      <c r="R28" s="28"/>
      <c r="S28" s="28"/>
    </row>
    <row r="29" spans="1:19" ht="15.6" x14ac:dyDescent="0.3">
      <c r="A29" s="1">
        <v>100</v>
      </c>
      <c r="B29" s="1">
        <v>15</v>
      </c>
      <c r="C29" s="7">
        <v>365.9726</v>
      </c>
      <c r="D29" s="1">
        <v>10.1</v>
      </c>
      <c r="F29" s="1">
        <f t="shared" si="1"/>
        <v>4.6051701859880918</v>
      </c>
      <c r="G29" s="1">
        <f t="shared" si="2"/>
        <v>2.7080502011022101</v>
      </c>
      <c r="H29" s="1">
        <f t="shared" si="3"/>
        <v>5.9025584672109845</v>
      </c>
      <c r="I29" s="10">
        <f t="shared" si="4"/>
        <v>10.1</v>
      </c>
      <c r="K29" s="52" t="s">
        <v>34</v>
      </c>
      <c r="L29" s="52" t="s">
        <v>35</v>
      </c>
      <c r="M29" s="3" t="s">
        <v>50</v>
      </c>
      <c r="N29" s="3">
        <v>5</v>
      </c>
      <c r="O29" s="3" t="s">
        <v>37</v>
      </c>
      <c r="P29" s="28"/>
      <c r="Q29" s="28"/>
      <c r="R29" s="28"/>
      <c r="S29" s="28"/>
    </row>
    <row r="30" spans="1:19" ht="15.6" x14ac:dyDescent="0.3">
      <c r="A30" s="1">
        <v>100</v>
      </c>
      <c r="B30" s="1">
        <v>20</v>
      </c>
      <c r="C30" s="6">
        <v>375.54809999999998</v>
      </c>
      <c r="D30" s="1">
        <v>10</v>
      </c>
      <c r="F30" s="1">
        <f t="shared" si="1"/>
        <v>4.6051701859880918</v>
      </c>
      <c r="G30" s="1">
        <f t="shared" si="2"/>
        <v>2.9957322735539909</v>
      </c>
      <c r="H30" s="1">
        <f t="shared" si="3"/>
        <v>5.9283865588727842</v>
      </c>
      <c r="I30" s="10">
        <f t="shared" si="4"/>
        <v>10</v>
      </c>
      <c r="K30" s="52"/>
      <c r="L30" s="52"/>
      <c r="M30" s="3" t="s">
        <v>51</v>
      </c>
      <c r="N30" s="3">
        <v>5</v>
      </c>
      <c r="O30" s="3" t="s">
        <v>37</v>
      </c>
      <c r="P30" s="28"/>
      <c r="Q30" s="28"/>
      <c r="R30" s="28"/>
      <c r="S30" s="28"/>
    </row>
    <row r="31" spans="1:19" ht="15.6" x14ac:dyDescent="0.3">
      <c r="A31" s="1">
        <v>100</v>
      </c>
      <c r="B31" s="1">
        <v>25</v>
      </c>
      <c r="C31" s="6">
        <v>372.2448</v>
      </c>
      <c r="D31" s="1">
        <v>9.85</v>
      </c>
      <c r="F31" s="1">
        <f t="shared" si="1"/>
        <v>4.6051701859880918</v>
      </c>
      <c r="G31" s="1">
        <f t="shared" si="2"/>
        <v>3.2188758248682006</v>
      </c>
      <c r="H31" s="1">
        <f t="shared" si="3"/>
        <v>5.9195517023597661</v>
      </c>
      <c r="I31" s="10">
        <f t="shared" si="4"/>
        <v>9.85</v>
      </c>
      <c r="K31" s="52"/>
      <c r="L31" s="52"/>
      <c r="M31" s="3" t="s">
        <v>52</v>
      </c>
      <c r="N31" s="3">
        <v>5</v>
      </c>
      <c r="O31" s="3" t="s">
        <v>37</v>
      </c>
      <c r="P31" s="28"/>
      <c r="Q31" s="28"/>
      <c r="R31" s="28"/>
      <c r="S31" s="28"/>
    </row>
    <row r="32" spans="1:19" ht="15.6" x14ac:dyDescent="0.3">
      <c r="A32" s="1">
        <v>125</v>
      </c>
      <c r="B32" s="1">
        <v>5</v>
      </c>
      <c r="C32" s="6">
        <v>367.93290000000002</v>
      </c>
      <c r="D32" s="1">
        <v>12.4</v>
      </c>
      <c r="F32" s="1">
        <f t="shared" si="1"/>
        <v>4.8283137373023015</v>
      </c>
      <c r="G32" s="1">
        <f t="shared" si="2"/>
        <v>1.6094379124341003</v>
      </c>
      <c r="H32" s="1">
        <f t="shared" si="3"/>
        <v>5.9079005845870052</v>
      </c>
      <c r="I32" s="10">
        <f t="shared" si="4"/>
        <v>12.4</v>
      </c>
      <c r="K32" s="3" t="s">
        <v>45</v>
      </c>
      <c r="L32" s="3" t="s">
        <v>46</v>
      </c>
      <c r="M32" s="3">
        <v>2.2679999999999999E-2</v>
      </c>
      <c r="N32" s="27">
        <v>0.01</v>
      </c>
      <c r="O32" s="3" t="s">
        <v>37</v>
      </c>
      <c r="P32" s="28"/>
      <c r="Q32" s="28"/>
      <c r="R32" s="28"/>
      <c r="S32" s="28"/>
    </row>
    <row r="33" spans="1:9" ht="15.6" x14ac:dyDescent="0.3">
      <c r="A33" s="1">
        <v>125</v>
      </c>
      <c r="B33" s="1">
        <v>10</v>
      </c>
      <c r="C33" s="6">
        <v>372.9119</v>
      </c>
      <c r="D33" s="1">
        <v>11</v>
      </c>
      <c r="F33" s="1">
        <f t="shared" si="1"/>
        <v>4.8283137373023015</v>
      </c>
      <c r="G33" s="1">
        <f t="shared" si="2"/>
        <v>2.3025850929940459</v>
      </c>
      <c r="H33" s="1">
        <f t="shared" si="3"/>
        <v>5.9213421987163581</v>
      </c>
      <c r="I33" s="10">
        <f t="shared" si="4"/>
        <v>11</v>
      </c>
    </row>
    <row r="34" spans="1:9" ht="15.6" x14ac:dyDescent="0.3">
      <c r="A34" s="1">
        <v>125</v>
      </c>
      <c r="B34" s="1">
        <v>15</v>
      </c>
      <c r="C34" s="6">
        <v>374.62299999999999</v>
      </c>
      <c r="D34" s="1">
        <v>10.45</v>
      </c>
      <c r="F34" s="1">
        <f t="shared" si="1"/>
        <v>4.8283137373023015</v>
      </c>
      <c r="G34" s="1">
        <f t="shared" si="2"/>
        <v>2.7080502011022101</v>
      </c>
      <c r="H34" s="1">
        <f t="shared" si="3"/>
        <v>5.9259201869505711</v>
      </c>
      <c r="I34" s="10">
        <f t="shared" si="4"/>
        <v>10.45</v>
      </c>
    </row>
    <row r="35" spans="1:9" ht="15.6" x14ac:dyDescent="0.3">
      <c r="A35" s="1">
        <v>125</v>
      </c>
      <c r="B35" s="1">
        <v>20</v>
      </c>
      <c r="C35" s="6">
        <v>374.1628</v>
      </c>
      <c r="D35" s="1">
        <v>10.3</v>
      </c>
      <c r="F35" s="1">
        <f t="shared" si="1"/>
        <v>4.8283137373023015</v>
      </c>
      <c r="G35" s="1">
        <f t="shared" si="2"/>
        <v>2.9957322735539909</v>
      </c>
      <c r="H35" s="1">
        <f t="shared" si="3"/>
        <v>5.9246909968191792</v>
      </c>
      <c r="I35" s="10">
        <f t="shared" si="4"/>
        <v>10.3</v>
      </c>
    </row>
    <row r="36" spans="1:9" ht="15.6" x14ac:dyDescent="0.3">
      <c r="A36" s="1">
        <v>125</v>
      </c>
      <c r="B36" s="1">
        <v>25</v>
      </c>
      <c r="C36" s="6">
        <v>367.64240000000001</v>
      </c>
      <c r="D36" s="1">
        <v>10.15</v>
      </c>
      <c r="F36" s="1">
        <f t="shared" si="1"/>
        <v>4.8283137373023015</v>
      </c>
      <c r="G36" s="1">
        <f t="shared" si="2"/>
        <v>3.2188758248682006</v>
      </c>
      <c r="H36" s="1">
        <f t="shared" si="3"/>
        <v>5.9071107265939409</v>
      </c>
      <c r="I36" s="10">
        <f t="shared" si="4"/>
        <v>10.15</v>
      </c>
    </row>
    <row r="37" spans="1:9" ht="15.6" x14ac:dyDescent="0.3">
      <c r="A37" s="1">
        <v>150</v>
      </c>
      <c r="B37" s="1">
        <v>5</v>
      </c>
      <c r="C37" s="6">
        <v>370.88040000000001</v>
      </c>
      <c r="D37" s="1">
        <v>12.7</v>
      </c>
      <c r="F37" s="1">
        <f t="shared" si="1"/>
        <v>5.0106352940962555</v>
      </c>
      <c r="G37" s="1">
        <f t="shared" si="2"/>
        <v>1.6094379124341003</v>
      </c>
      <c r="H37" s="1">
        <f t="shared" si="3"/>
        <v>5.9158796386667669</v>
      </c>
      <c r="I37" s="10">
        <f t="shared" si="4"/>
        <v>12.7</v>
      </c>
    </row>
    <row r="38" spans="1:9" ht="15.6" x14ac:dyDescent="0.3">
      <c r="A38" s="1">
        <v>150</v>
      </c>
      <c r="B38" s="1">
        <v>10</v>
      </c>
      <c r="C38" s="6">
        <v>371.8621</v>
      </c>
      <c r="D38" s="1">
        <v>11.25</v>
      </c>
      <c r="F38" s="1">
        <f t="shared" si="1"/>
        <v>5.0106352940962555</v>
      </c>
      <c r="G38" s="1">
        <f t="shared" si="2"/>
        <v>2.3025850929940459</v>
      </c>
      <c r="H38" s="1">
        <f t="shared" si="3"/>
        <v>5.9185230866225842</v>
      </c>
      <c r="I38" s="10">
        <f t="shared" si="4"/>
        <v>11.25</v>
      </c>
    </row>
    <row r="39" spans="1:9" ht="15.6" x14ac:dyDescent="0.3">
      <c r="A39" s="1">
        <v>150</v>
      </c>
      <c r="B39" s="1">
        <v>15</v>
      </c>
      <c r="C39" s="6">
        <v>375.20240000000001</v>
      </c>
      <c r="D39" s="1">
        <v>10.749999999999998</v>
      </c>
      <c r="F39" s="1">
        <f t="shared" si="1"/>
        <v>5.0106352940962555</v>
      </c>
      <c r="G39" s="1">
        <f t="shared" si="2"/>
        <v>2.7080502011022101</v>
      </c>
      <c r="H39" s="1">
        <f t="shared" si="3"/>
        <v>5.9274656137000976</v>
      </c>
      <c r="I39" s="10">
        <f t="shared" si="4"/>
        <v>10.749999999999998</v>
      </c>
    </row>
    <row r="40" spans="1:9" ht="15.6" x14ac:dyDescent="0.3">
      <c r="A40" s="1">
        <v>150</v>
      </c>
      <c r="B40" s="1">
        <v>20</v>
      </c>
      <c r="C40" s="6">
        <v>376.5154</v>
      </c>
      <c r="D40" s="1">
        <v>10.549999999999999</v>
      </c>
      <c r="F40" s="1">
        <f t="shared" si="1"/>
        <v>5.0106352940962555</v>
      </c>
      <c r="G40" s="1">
        <f t="shared" si="2"/>
        <v>2.9957322735539909</v>
      </c>
      <c r="H40" s="1">
        <f t="shared" si="3"/>
        <v>5.9309589494578896</v>
      </c>
      <c r="I40" s="10">
        <f t="shared" si="4"/>
        <v>10.549999999999999</v>
      </c>
    </row>
    <row r="41" spans="1:9" ht="15.6" x14ac:dyDescent="0.3">
      <c r="A41" s="1">
        <v>150</v>
      </c>
      <c r="B41" s="1">
        <v>25</v>
      </c>
      <c r="C41" s="6">
        <v>364.18689999999998</v>
      </c>
      <c r="D41" s="1">
        <v>10.349999999999998</v>
      </c>
      <c r="F41" s="1">
        <f t="shared" si="1"/>
        <v>5.0106352940962555</v>
      </c>
      <c r="G41" s="1">
        <f t="shared" si="2"/>
        <v>3.2188758248682006</v>
      </c>
      <c r="H41" s="1">
        <f t="shared" si="3"/>
        <v>5.8976671973989321</v>
      </c>
      <c r="I41" s="10">
        <f t="shared" si="4"/>
        <v>10.349999999999998</v>
      </c>
    </row>
    <row r="42" spans="1:9" ht="15.6" x14ac:dyDescent="0.3">
      <c r="A42" s="1">
        <v>175</v>
      </c>
      <c r="B42" s="1">
        <v>5</v>
      </c>
      <c r="C42" s="6">
        <v>375.05119999999999</v>
      </c>
      <c r="D42" s="1">
        <v>12.949999999999998</v>
      </c>
      <c r="F42" s="1">
        <f t="shared" si="1"/>
        <v>5.1647859739235145</v>
      </c>
      <c r="G42" s="1">
        <f t="shared" si="2"/>
        <v>1.6094379124341003</v>
      </c>
      <c r="H42" s="1">
        <f t="shared" si="3"/>
        <v>5.9270625499839165</v>
      </c>
      <c r="I42" s="10">
        <f t="shared" si="4"/>
        <v>12.949999999999998</v>
      </c>
    </row>
    <row r="43" spans="1:9" ht="15.6" x14ac:dyDescent="0.3">
      <c r="A43" s="1">
        <v>175</v>
      </c>
      <c r="B43" s="1">
        <v>10</v>
      </c>
      <c r="C43" s="6">
        <v>376.8347</v>
      </c>
      <c r="D43" s="1">
        <v>11.5</v>
      </c>
      <c r="F43" s="1">
        <f t="shared" si="1"/>
        <v>5.1647859739235145</v>
      </c>
      <c r="G43" s="1">
        <f t="shared" si="2"/>
        <v>2.3025850929940459</v>
      </c>
      <c r="H43" s="1">
        <f t="shared" si="3"/>
        <v>5.9318066297571814</v>
      </c>
      <c r="I43" s="10">
        <f t="shared" si="4"/>
        <v>11.5</v>
      </c>
    </row>
    <row r="44" spans="1:9" ht="15.6" x14ac:dyDescent="0.3">
      <c r="A44" s="1">
        <v>175</v>
      </c>
      <c r="B44" s="1">
        <v>15</v>
      </c>
      <c r="C44" s="6">
        <v>366.38940000000002</v>
      </c>
      <c r="D44" s="1">
        <v>10.949999999999998</v>
      </c>
      <c r="F44" s="1">
        <f t="shared" si="1"/>
        <v>5.1647859739235145</v>
      </c>
      <c r="G44" s="1">
        <f t="shared" si="2"/>
        <v>2.7080502011022101</v>
      </c>
      <c r="H44" s="1">
        <f t="shared" si="3"/>
        <v>5.9036967022504863</v>
      </c>
      <c r="I44" s="10">
        <f t="shared" si="4"/>
        <v>10.949999999999998</v>
      </c>
    </row>
    <row r="45" spans="1:9" ht="15.6" x14ac:dyDescent="0.3">
      <c r="A45" s="1">
        <v>175</v>
      </c>
      <c r="B45" s="1">
        <v>20</v>
      </c>
      <c r="C45" s="6">
        <v>376.61770000000001</v>
      </c>
      <c r="D45" s="1">
        <v>10.749999999999996</v>
      </c>
      <c r="F45" s="1">
        <f t="shared" si="1"/>
        <v>5.1647859739235145</v>
      </c>
      <c r="G45" s="1">
        <f t="shared" si="2"/>
        <v>2.9957322735539909</v>
      </c>
      <c r="H45" s="1">
        <f t="shared" si="3"/>
        <v>5.9312306145875446</v>
      </c>
      <c r="I45" s="10">
        <f t="shared" si="4"/>
        <v>10.749999999999996</v>
      </c>
    </row>
    <row r="46" spans="1:9" ht="15.6" x14ac:dyDescent="0.3">
      <c r="A46" s="1">
        <v>175</v>
      </c>
      <c r="B46" s="1">
        <v>25</v>
      </c>
      <c r="C46" s="6">
        <v>380.95690000000002</v>
      </c>
      <c r="D46" s="1">
        <v>10.649999999999995</v>
      </c>
      <c r="F46" s="1">
        <f t="shared" si="1"/>
        <v>5.1647859739235145</v>
      </c>
      <c r="G46" s="1">
        <f t="shared" si="2"/>
        <v>3.2188758248682006</v>
      </c>
      <c r="H46" s="1">
        <f t="shared" si="3"/>
        <v>5.9426862453681908</v>
      </c>
      <c r="I46" s="10">
        <f t="shared" si="4"/>
        <v>10.649999999999995</v>
      </c>
    </row>
    <row r="47" spans="1:9" ht="15.6" x14ac:dyDescent="0.3">
      <c r="A47" s="1">
        <v>200</v>
      </c>
      <c r="B47" s="1">
        <v>5</v>
      </c>
      <c r="C47" s="6">
        <v>367.83440000000002</v>
      </c>
      <c r="D47" s="1">
        <v>13</v>
      </c>
      <c r="F47" s="1">
        <f t="shared" si="1"/>
        <v>5.2983173665480363</v>
      </c>
      <c r="G47" s="1">
        <f t="shared" si="2"/>
        <v>1.6094379124341003</v>
      </c>
      <c r="H47" s="1">
        <f t="shared" si="3"/>
        <v>5.9076328368885456</v>
      </c>
      <c r="I47" s="10">
        <f t="shared" si="4"/>
        <v>13</v>
      </c>
    </row>
    <row r="48" spans="1:9" ht="15.6" x14ac:dyDescent="0.3">
      <c r="A48" s="1">
        <v>200</v>
      </c>
      <c r="B48" s="1">
        <v>10</v>
      </c>
      <c r="C48" s="8">
        <v>374.0197</v>
      </c>
      <c r="D48" s="1">
        <v>11.65</v>
      </c>
      <c r="F48" s="1">
        <f t="shared" si="1"/>
        <v>5.2983173665480363</v>
      </c>
      <c r="G48" s="1">
        <f t="shared" si="2"/>
        <v>2.3025850929940459</v>
      </c>
      <c r="H48" s="1">
        <f t="shared" si="3"/>
        <v>5.9243084698241075</v>
      </c>
      <c r="I48" s="10">
        <f t="shared" si="4"/>
        <v>11.65</v>
      </c>
    </row>
    <row r="49" spans="1:9" ht="15.6" x14ac:dyDescent="0.3">
      <c r="A49" s="1">
        <v>200</v>
      </c>
      <c r="B49" s="1">
        <v>15</v>
      </c>
      <c r="C49" s="6">
        <v>365.05709999999999</v>
      </c>
      <c r="D49" s="1">
        <v>11.049999999999999</v>
      </c>
      <c r="F49" s="1">
        <f t="shared" si="1"/>
        <v>5.2983173665480363</v>
      </c>
      <c r="G49" s="1">
        <f t="shared" si="2"/>
        <v>2.7080502011022101</v>
      </c>
      <c r="H49" s="1">
        <f t="shared" si="3"/>
        <v>5.9000537797034527</v>
      </c>
      <c r="I49" s="10">
        <f t="shared" si="4"/>
        <v>11.049999999999999</v>
      </c>
    </row>
    <row r="50" spans="1:9" ht="15.6" x14ac:dyDescent="0.3">
      <c r="A50" s="1">
        <v>200</v>
      </c>
      <c r="B50" s="1">
        <v>20</v>
      </c>
      <c r="C50" s="6">
        <v>365.892</v>
      </c>
      <c r="D50" s="1">
        <v>10.85</v>
      </c>
      <c r="F50" s="1">
        <f t="shared" si="1"/>
        <v>5.2983173665480363</v>
      </c>
      <c r="G50" s="1">
        <f t="shared" si="2"/>
        <v>2.9957322735539909</v>
      </c>
      <c r="H50" s="1">
        <f t="shared" si="3"/>
        <v>5.9023382078889028</v>
      </c>
      <c r="I50" s="10">
        <f t="shared" si="4"/>
        <v>10.85</v>
      </c>
    </row>
    <row r="51" spans="1:9" ht="15.6" x14ac:dyDescent="0.3">
      <c r="A51" s="1">
        <v>200</v>
      </c>
      <c r="B51" s="1">
        <v>25</v>
      </c>
      <c r="C51" s="6">
        <v>372.13929999999999</v>
      </c>
      <c r="D51" s="1">
        <v>10.7</v>
      </c>
      <c r="F51" s="1">
        <f t="shared" si="1"/>
        <v>5.2983173665480363</v>
      </c>
      <c r="G51" s="1">
        <f t="shared" si="2"/>
        <v>3.2188758248682006</v>
      </c>
      <c r="H51" s="1">
        <f t="shared" si="3"/>
        <v>5.9192682465452044</v>
      </c>
      <c r="I51" s="10">
        <f t="shared" si="4"/>
        <v>10.7</v>
      </c>
    </row>
    <row r="52" spans="1:9" ht="15.6" x14ac:dyDescent="0.3">
      <c r="A52" s="1">
        <v>100</v>
      </c>
      <c r="B52" s="1">
        <v>5</v>
      </c>
      <c r="C52" s="6">
        <v>498.76549999999997</v>
      </c>
      <c r="D52" s="1">
        <v>12.7</v>
      </c>
      <c r="F52" s="1">
        <f t="shared" si="1"/>
        <v>4.6051701859880918</v>
      </c>
      <c r="G52" s="1">
        <f t="shared" si="2"/>
        <v>1.6094379124341003</v>
      </c>
      <c r="H52" s="1">
        <f t="shared" si="3"/>
        <v>6.2121360454154075</v>
      </c>
      <c r="I52" s="10">
        <f t="shared" si="4"/>
        <v>12.7</v>
      </c>
    </row>
    <row r="53" spans="1:9" ht="15.6" x14ac:dyDescent="0.3">
      <c r="A53" s="1">
        <v>100</v>
      </c>
      <c r="B53" s="1">
        <v>10</v>
      </c>
      <c r="C53" s="6">
        <v>507.7765</v>
      </c>
      <c r="D53" s="1">
        <v>11.05</v>
      </c>
      <c r="F53" s="1">
        <f t="shared" si="1"/>
        <v>4.6051701859880918</v>
      </c>
      <c r="G53" s="1">
        <f t="shared" si="2"/>
        <v>2.3025850929940459</v>
      </c>
      <c r="H53" s="1">
        <f t="shared" si="3"/>
        <v>6.2300413901374867</v>
      </c>
      <c r="I53" s="10">
        <f t="shared" si="4"/>
        <v>11.05</v>
      </c>
    </row>
    <row r="54" spans="1:9" ht="15.6" x14ac:dyDescent="0.3">
      <c r="A54" s="1">
        <v>100</v>
      </c>
      <c r="B54" s="1">
        <v>15</v>
      </c>
      <c r="C54" s="6">
        <v>510.50810000000001</v>
      </c>
      <c r="D54" s="1">
        <v>10.65</v>
      </c>
      <c r="F54" s="1">
        <f t="shared" si="1"/>
        <v>4.6051701859880918</v>
      </c>
      <c r="G54" s="1">
        <f t="shared" si="2"/>
        <v>2.7080502011022101</v>
      </c>
      <c r="H54" s="1">
        <f t="shared" si="3"/>
        <v>6.235406504276102</v>
      </c>
      <c r="I54" s="10">
        <f t="shared" si="4"/>
        <v>10.65</v>
      </c>
    </row>
    <row r="55" spans="1:9" ht="15.6" x14ac:dyDescent="0.3">
      <c r="A55" s="1">
        <v>100</v>
      </c>
      <c r="B55" s="1">
        <v>20</v>
      </c>
      <c r="C55" s="6">
        <v>510.08519999999999</v>
      </c>
      <c r="D55" s="1">
        <v>10.450000000000001</v>
      </c>
      <c r="F55" s="1">
        <f t="shared" si="1"/>
        <v>4.6051701859880918</v>
      </c>
      <c r="G55" s="1">
        <f t="shared" si="2"/>
        <v>2.9957322735539909</v>
      </c>
      <c r="H55" s="1">
        <f t="shared" si="3"/>
        <v>6.2345777705891292</v>
      </c>
      <c r="I55" s="10">
        <f t="shared" si="4"/>
        <v>10.450000000000001</v>
      </c>
    </row>
    <row r="56" spans="1:9" ht="15.6" x14ac:dyDescent="0.3">
      <c r="A56" s="1">
        <v>100</v>
      </c>
      <c r="B56" s="1">
        <v>25</v>
      </c>
      <c r="C56" s="6">
        <v>502.17189999999999</v>
      </c>
      <c r="D56" s="1">
        <v>10.250000000000002</v>
      </c>
      <c r="F56" s="1">
        <f t="shared" si="1"/>
        <v>4.6051701859880918</v>
      </c>
      <c r="G56" s="1">
        <f t="shared" si="2"/>
        <v>3.2188758248682006</v>
      </c>
      <c r="H56" s="1">
        <f t="shared" si="3"/>
        <v>6.2189424913547464</v>
      </c>
      <c r="I56" s="10">
        <f t="shared" si="4"/>
        <v>10.250000000000002</v>
      </c>
    </row>
    <row r="57" spans="1:9" ht="15.6" x14ac:dyDescent="0.3">
      <c r="A57" s="1">
        <v>125</v>
      </c>
      <c r="B57" s="1">
        <v>5</v>
      </c>
      <c r="C57" s="6">
        <v>500.93599999999998</v>
      </c>
      <c r="D57" s="1">
        <v>13.15</v>
      </c>
      <c r="F57" s="1">
        <f t="shared" si="1"/>
        <v>4.8283137373023015</v>
      </c>
      <c r="G57" s="1">
        <f t="shared" si="2"/>
        <v>1.6094379124341003</v>
      </c>
      <c r="H57" s="1">
        <f t="shared" si="3"/>
        <v>6.2164783484138617</v>
      </c>
      <c r="I57" s="10">
        <f t="shared" si="4"/>
        <v>13.15</v>
      </c>
    </row>
    <row r="58" spans="1:9" ht="15.6" x14ac:dyDescent="0.3">
      <c r="A58" s="1">
        <v>125</v>
      </c>
      <c r="B58" s="1">
        <v>10</v>
      </c>
      <c r="C58" s="6">
        <v>505.55040000000002</v>
      </c>
      <c r="D58" s="1">
        <v>11.55</v>
      </c>
      <c r="F58" s="1">
        <f t="shared" si="1"/>
        <v>4.8283137373023015</v>
      </c>
      <c r="G58" s="1">
        <f t="shared" si="2"/>
        <v>2.3025850929940459</v>
      </c>
      <c r="H58" s="1">
        <f t="shared" si="3"/>
        <v>6.2256477367545813</v>
      </c>
      <c r="I58" s="10">
        <f t="shared" si="4"/>
        <v>11.55</v>
      </c>
    </row>
    <row r="59" spans="1:9" ht="15.6" x14ac:dyDescent="0.3">
      <c r="A59" s="1">
        <v>125</v>
      </c>
      <c r="B59" s="1">
        <v>15</v>
      </c>
      <c r="C59" s="6">
        <v>508.97269999999997</v>
      </c>
      <c r="D59" s="1">
        <v>11</v>
      </c>
      <c r="F59" s="1">
        <f t="shared" si="1"/>
        <v>4.8283137373023015</v>
      </c>
      <c r="G59" s="1">
        <f t="shared" si="2"/>
        <v>2.7080502011022101</v>
      </c>
      <c r="H59" s="1">
        <f t="shared" si="3"/>
        <v>6.2323943805345339</v>
      </c>
      <c r="I59" s="10">
        <f t="shared" si="4"/>
        <v>11</v>
      </c>
    </row>
    <row r="60" spans="1:9" ht="15.6" x14ac:dyDescent="0.3">
      <c r="A60" s="1">
        <v>125</v>
      </c>
      <c r="B60" s="1">
        <v>20</v>
      </c>
      <c r="C60" s="6">
        <v>510.59410000000003</v>
      </c>
      <c r="D60" s="1">
        <v>10.75</v>
      </c>
      <c r="F60" s="1">
        <f t="shared" si="1"/>
        <v>4.8283137373023015</v>
      </c>
      <c r="G60" s="1">
        <f t="shared" si="2"/>
        <v>2.9957322735539909</v>
      </c>
      <c r="H60" s="1">
        <f t="shared" si="3"/>
        <v>6.2355749497073294</v>
      </c>
      <c r="I60" s="10">
        <f t="shared" si="4"/>
        <v>10.75</v>
      </c>
    </row>
    <row r="61" spans="1:9" ht="15.6" x14ac:dyDescent="0.3">
      <c r="A61" s="1">
        <v>125</v>
      </c>
      <c r="B61" s="1">
        <v>25</v>
      </c>
      <c r="C61" s="9">
        <v>503.78829999999999</v>
      </c>
      <c r="D61" s="1">
        <v>10.6</v>
      </c>
      <c r="F61" s="1">
        <f t="shared" si="1"/>
        <v>4.8283137373023015</v>
      </c>
      <c r="G61" s="1">
        <f t="shared" si="2"/>
        <v>3.2188758248682006</v>
      </c>
      <c r="H61" s="1">
        <f t="shared" si="3"/>
        <v>6.222156140147451</v>
      </c>
      <c r="I61" s="10">
        <f t="shared" si="4"/>
        <v>10.6</v>
      </c>
    </row>
    <row r="62" spans="1:9" x14ac:dyDescent="0.3">
      <c r="A62" s="1">
        <v>150</v>
      </c>
      <c r="B62" s="1">
        <v>5</v>
      </c>
      <c r="C62" s="5">
        <v>491.88760000000002</v>
      </c>
      <c r="D62" s="1">
        <v>13.299999999999999</v>
      </c>
      <c r="F62" s="1">
        <f t="shared" si="1"/>
        <v>5.0106352940962555</v>
      </c>
      <c r="G62" s="1">
        <f t="shared" si="2"/>
        <v>1.6094379124341003</v>
      </c>
      <c r="H62" s="1">
        <f t="shared" si="3"/>
        <v>6.1982502351078717</v>
      </c>
      <c r="I62" s="10">
        <f t="shared" si="4"/>
        <v>13.299999999999999</v>
      </c>
    </row>
    <row r="63" spans="1:9" x14ac:dyDescent="0.3">
      <c r="A63" s="1">
        <v>150</v>
      </c>
      <c r="B63" s="1">
        <v>10</v>
      </c>
      <c r="C63" s="5">
        <v>494.46300000000002</v>
      </c>
      <c r="D63" s="1">
        <v>11.9</v>
      </c>
      <c r="F63" s="1">
        <f t="shared" si="1"/>
        <v>5.0106352940962555</v>
      </c>
      <c r="G63" s="1">
        <f t="shared" si="2"/>
        <v>2.3025850929940459</v>
      </c>
      <c r="H63" s="1">
        <f t="shared" si="3"/>
        <v>6.203472325209793</v>
      </c>
      <c r="I63" s="10">
        <f t="shared" si="4"/>
        <v>11.9</v>
      </c>
    </row>
    <row r="64" spans="1:9" x14ac:dyDescent="0.3">
      <c r="A64" s="1">
        <v>150</v>
      </c>
      <c r="B64" s="1">
        <v>15</v>
      </c>
      <c r="C64" s="5">
        <v>497.4409</v>
      </c>
      <c r="D64" s="1">
        <v>11.25</v>
      </c>
      <c r="F64" s="1">
        <f t="shared" si="1"/>
        <v>5.0106352940962555</v>
      </c>
      <c r="G64" s="1">
        <f t="shared" si="2"/>
        <v>2.7080502011022101</v>
      </c>
      <c r="H64" s="1">
        <f t="shared" si="3"/>
        <v>6.2094767555722354</v>
      </c>
      <c r="I64" s="10">
        <f t="shared" si="4"/>
        <v>11.25</v>
      </c>
    </row>
    <row r="65" spans="1:9" x14ac:dyDescent="0.3">
      <c r="A65" s="1">
        <v>150</v>
      </c>
      <c r="B65" s="1">
        <v>20</v>
      </c>
      <c r="C65" s="5">
        <v>501.209</v>
      </c>
      <c r="D65" s="1">
        <v>11</v>
      </c>
      <c r="F65" s="1">
        <f t="shared" si="1"/>
        <v>5.0106352940962555</v>
      </c>
      <c r="G65" s="1">
        <f t="shared" si="2"/>
        <v>2.9957322735539909</v>
      </c>
      <c r="H65" s="1">
        <f t="shared" si="3"/>
        <v>6.217023179764122</v>
      </c>
      <c r="I65" s="10">
        <f t="shared" si="4"/>
        <v>11</v>
      </c>
    </row>
    <row r="66" spans="1:9" x14ac:dyDescent="0.3">
      <c r="A66" s="1">
        <v>150</v>
      </c>
      <c r="B66" s="1">
        <v>25</v>
      </c>
      <c r="C66" s="5">
        <v>496.90559999999999</v>
      </c>
      <c r="D66" s="1">
        <v>10.850000000000001</v>
      </c>
      <c r="F66" s="1">
        <f t="shared" si="1"/>
        <v>5.0106352940962555</v>
      </c>
      <c r="G66" s="1">
        <f t="shared" si="2"/>
        <v>3.2188758248682006</v>
      </c>
      <c r="H66" s="1">
        <f t="shared" si="3"/>
        <v>6.2084000684179843</v>
      </c>
      <c r="I66" s="10">
        <f t="shared" si="4"/>
        <v>10.850000000000001</v>
      </c>
    </row>
    <row r="67" spans="1:9" x14ac:dyDescent="0.3">
      <c r="A67" s="1">
        <v>175</v>
      </c>
      <c r="B67" s="1">
        <v>5</v>
      </c>
      <c r="C67" s="5">
        <v>491.90300000000002</v>
      </c>
      <c r="D67" s="1">
        <v>13.599999999999998</v>
      </c>
      <c r="F67" s="1">
        <f t="shared" ref="F67:F76" si="5">LN(A67)</f>
        <v>5.1647859739235145</v>
      </c>
      <c r="G67" s="1">
        <f t="shared" ref="G67:G76" si="6">LN(B67)</f>
        <v>1.6094379124341003</v>
      </c>
      <c r="H67" s="1">
        <f t="shared" ref="H67:H76" si="7">LN(C67)</f>
        <v>6.198281542583266</v>
      </c>
      <c r="I67" s="10">
        <f t="shared" ref="I67:I76" si="8">D67</f>
        <v>13.599999999999998</v>
      </c>
    </row>
    <row r="68" spans="1:9" x14ac:dyDescent="0.3">
      <c r="A68" s="1">
        <v>175</v>
      </c>
      <c r="B68" s="1">
        <v>10</v>
      </c>
      <c r="C68" s="5">
        <v>510.77460000000002</v>
      </c>
      <c r="D68" s="1">
        <v>12.25</v>
      </c>
      <c r="F68" s="1">
        <f t="shared" si="5"/>
        <v>5.1647859739235145</v>
      </c>
      <c r="G68" s="1">
        <f t="shared" si="6"/>
        <v>2.3025850929940459</v>
      </c>
      <c r="H68" s="1">
        <f t="shared" si="7"/>
        <v>6.2359283970018842</v>
      </c>
      <c r="I68" s="10">
        <f t="shared" si="8"/>
        <v>12.25</v>
      </c>
    </row>
    <row r="69" spans="1:9" x14ac:dyDescent="0.3">
      <c r="A69" s="1">
        <v>175</v>
      </c>
      <c r="B69" s="1">
        <v>15</v>
      </c>
      <c r="C69" s="5">
        <v>496.09719999999999</v>
      </c>
      <c r="D69" s="1">
        <v>11.5</v>
      </c>
      <c r="F69" s="1">
        <f t="shared" si="5"/>
        <v>5.1647859739235145</v>
      </c>
      <c r="G69" s="1">
        <f t="shared" si="6"/>
        <v>2.7080502011022101</v>
      </c>
      <c r="H69" s="1">
        <f t="shared" si="7"/>
        <v>6.2067718752676928</v>
      </c>
      <c r="I69" s="10">
        <f t="shared" si="8"/>
        <v>11.5</v>
      </c>
    </row>
    <row r="70" spans="1:9" x14ac:dyDescent="0.3">
      <c r="A70" s="1">
        <v>175</v>
      </c>
      <c r="B70" s="1">
        <v>20</v>
      </c>
      <c r="C70" s="5">
        <v>511.53390000000002</v>
      </c>
      <c r="D70" s="1">
        <v>11.25</v>
      </c>
      <c r="F70" s="1">
        <f t="shared" si="5"/>
        <v>5.1647859739235145</v>
      </c>
      <c r="G70" s="1">
        <f t="shared" si="6"/>
        <v>2.9957322735539909</v>
      </c>
      <c r="H70" s="1">
        <f t="shared" si="7"/>
        <v>6.2374138588553709</v>
      </c>
      <c r="I70" s="10">
        <f t="shared" si="8"/>
        <v>11.25</v>
      </c>
    </row>
    <row r="71" spans="1:9" x14ac:dyDescent="0.3">
      <c r="A71" s="1">
        <v>175</v>
      </c>
      <c r="B71" s="1">
        <v>25</v>
      </c>
      <c r="C71" s="5">
        <v>506.80259999999998</v>
      </c>
      <c r="D71" s="1">
        <v>11.100000000000003</v>
      </c>
      <c r="F71" s="1">
        <f t="shared" si="5"/>
        <v>5.1647859739235145</v>
      </c>
      <c r="G71" s="1">
        <f t="shared" si="6"/>
        <v>3.2188758248682006</v>
      </c>
      <c r="H71" s="1">
        <f t="shared" si="7"/>
        <v>6.2281215786627113</v>
      </c>
      <c r="I71" s="10">
        <f t="shared" si="8"/>
        <v>11.100000000000003</v>
      </c>
    </row>
    <row r="72" spans="1:9" x14ac:dyDescent="0.3">
      <c r="A72" s="1">
        <v>200</v>
      </c>
      <c r="B72" s="1">
        <v>5</v>
      </c>
      <c r="C72" s="5">
        <v>508.4255</v>
      </c>
      <c r="D72" s="1">
        <v>13.9</v>
      </c>
      <c r="F72" s="1">
        <f t="shared" si="5"/>
        <v>5.2983173665480363</v>
      </c>
      <c r="G72" s="1">
        <f t="shared" si="6"/>
        <v>1.6094379124341003</v>
      </c>
      <c r="H72" s="1">
        <f t="shared" si="7"/>
        <v>6.2313186954138731</v>
      </c>
      <c r="I72" s="10">
        <f t="shared" si="8"/>
        <v>13.9</v>
      </c>
    </row>
    <row r="73" spans="1:9" x14ac:dyDescent="0.3">
      <c r="A73" s="1">
        <v>200</v>
      </c>
      <c r="B73" s="1">
        <v>10</v>
      </c>
      <c r="C73" s="5">
        <v>490.17399999999998</v>
      </c>
      <c r="D73" s="1">
        <v>12.400000000000002</v>
      </c>
      <c r="F73" s="1">
        <f t="shared" si="5"/>
        <v>5.2983173665480363</v>
      </c>
      <c r="G73" s="1">
        <f t="shared" si="6"/>
        <v>2.3025850929940459</v>
      </c>
      <c r="H73" s="1">
        <f t="shared" si="7"/>
        <v>6.194760430111681</v>
      </c>
      <c r="I73" s="10">
        <f t="shared" si="8"/>
        <v>12.400000000000002</v>
      </c>
    </row>
    <row r="74" spans="1:9" x14ac:dyDescent="0.3">
      <c r="A74" s="1">
        <v>200</v>
      </c>
      <c r="B74" s="1">
        <v>15</v>
      </c>
      <c r="C74" s="5">
        <v>509.64319999999998</v>
      </c>
      <c r="D74" s="1">
        <v>11.750000000000002</v>
      </c>
      <c r="F74" s="1">
        <f t="shared" si="5"/>
        <v>5.2983173665480363</v>
      </c>
      <c r="G74" s="1">
        <f t="shared" si="6"/>
        <v>2.7080502011022101</v>
      </c>
      <c r="H74" s="1">
        <f t="shared" si="7"/>
        <v>6.2337108730354656</v>
      </c>
      <c r="I74" s="10">
        <f t="shared" si="8"/>
        <v>11.750000000000002</v>
      </c>
    </row>
    <row r="75" spans="1:9" x14ac:dyDescent="0.3">
      <c r="A75" s="1">
        <v>200</v>
      </c>
      <c r="B75" s="1">
        <v>20</v>
      </c>
      <c r="C75" s="5">
        <v>496.50970000000001</v>
      </c>
      <c r="D75" s="1">
        <v>11.400000000000002</v>
      </c>
      <c r="F75" s="1">
        <f t="shared" si="5"/>
        <v>5.2983173665480363</v>
      </c>
      <c r="G75" s="1">
        <f t="shared" si="6"/>
        <v>2.9957322735539909</v>
      </c>
      <c r="H75" s="1">
        <f t="shared" si="7"/>
        <v>6.2076030200516881</v>
      </c>
      <c r="I75" s="10">
        <f t="shared" si="8"/>
        <v>11.400000000000002</v>
      </c>
    </row>
    <row r="76" spans="1:9" x14ac:dyDescent="0.3">
      <c r="A76" s="1">
        <v>200</v>
      </c>
      <c r="B76" s="1">
        <v>25</v>
      </c>
      <c r="C76" s="5">
        <v>497.58199999999999</v>
      </c>
      <c r="D76" s="1">
        <v>11.250000000000004</v>
      </c>
      <c r="F76" s="1">
        <f t="shared" si="5"/>
        <v>5.2983173665480363</v>
      </c>
      <c r="G76" s="1">
        <f t="shared" si="6"/>
        <v>3.2188758248682006</v>
      </c>
      <c r="H76" s="1">
        <f t="shared" si="7"/>
        <v>6.2097603671372479</v>
      </c>
      <c r="I76" s="10">
        <f t="shared" si="8"/>
        <v>11.250000000000004</v>
      </c>
    </row>
  </sheetData>
  <mergeCells count="2">
    <mergeCell ref="K29:K31"/>
    <mergeCell ref="L29:L3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83FF-900E-4507-A70B-74363D089C93}">
  <dimension ref="A3:G10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6" width="6" bestFit="1" customWidth="1"/>
    <col min="7" max="7" width="10.77734375" bestFit="1" customWidth="1"/>
    <col min="8" max="8" width="11" bestFit="1" customWidth="1"/>
    <col min="9" max="9" width="13.33203125" bestFit="1" customWidth="1"/>
    <col min="10" max="10" width="11" bestFit="1" customWidth="1"/>
    <col min="11" max="11" width="13.33203125" bestFit="1" customWidth="1"/>
    <col min="12" max="12" width="9" bestFit="1" customWidth="1"/>
    <col min="13" max="13" width="11.21875" bestFit="1" customWidth="1"/>
    <col min="14" max="14" width="11" bestFit="1" customWidth="1"/>
    <col min="15" max="15" width="13.33203125" bestFit="1" customWidth="1"/>
    <col min="16" max="16" width="10" bestFit="1" customWidth="1"/>
    <col min="17" max="17" width="12.21875" bestFit="1" customWidth="1"/>
    <col min="18" max="18" width="11" bestFit="1" customWidth="1"/>
    <col min="19" max="19" width="13.33203125" bestFit="1" customWidth="1"/>
    <col min="20" max="20" width="11" bestFit="1" customWidth="1"/>
    <col min="21" max="21" width="13.33203125" bestFit="1" customWidth="1"/>
    <col min="22" max="22" width="11" bestFit="1" customWidth="1"/>
    <col min="23" max="23" width="13.33203125" bestFit="1" customWidth="1"/>
    <col min="24" max="24" width="11" bestFit="1" customWidth="1"/>
    <col min="25" max="25" width="13.33203125" bestFit="1" customWidth="1"/>
    <col min="26" max="26" width="11" bestFit="1" customWidth="1"/>
    <col min="27" max="27" width="13.33203125" bestFit="1" customWidth="1"/>
    <col min="28" max="28" width="11" bestFit="1" customWidth="1"/>
    <col min="29" max="29" width="13.33203125" bestFit="1" customWidth="1"/>
    <col min="30" max="30" width="11" bestFit="1" customWidth="1"/>
    <col min="31" max="31" width="13.33203125" bestFit="1" customWidth="1"/>
    <col min="32" max="32" width="11" bestFit="1" customWidth="1"/>
    <col min="33" max="33" width="13.33203125" bestFit="1" customWidth="1"/>
    <col min="34" max="34" width="11" bestFit="1" customWidth="1"/>
    <col min="35" max="35" width="13.33203125" bestFit="1" customWidth="1"/>
    <col min="36" max="36" width="11" bestFit="1" customWidth="1"/>
    <col min="37" max="37" width="13.33203125" bestFit="1" customWidth="1"/>
    <col min="38" max="38" width="11" bestFit="1" customWidth="1"/>
    <col min="39" max="39" width="13.33203125" bestFit="1" customWidth="1"/>
    <col min="40" max="40" width="10" bestFit="1" customWidth="1"/>
    <col min="41" max="41" width="12.21875" bestFit="1" customWidth="1"/>
    <col min="42" max="42" width="11" bestFit="1" customWidth="1"/>
    <col min="43" max="43" width="13.33203125" bestFit="1" customWidth="1"/>
    <col min="44" max="44" width="11" bestFit="1" customWidth="1"/>
    <col min="45" max="45" width="13.33203125" bestFit="1" customWidth="1"/>
    <col min="46" max="46" width="11" bestFit="1" customWidth="1"/>
    <col min="47" max="47" width="13.33203125" bestFit="1" customWidth="1"/>
    <col min="48" max="48" width="11" bestFit="1" customWidth="1"/>
    <col min="49" max="49" width="13.33203125" bestFit="1" customWidth="1"/>
    <col min="50" max="50" width="11" bestFit="1" customWidth="1"/>
    <col min="51" max="51" width="13.33203125" bestFit="1" customWidth="1"/>
    <col min="52" max="52" width="10.77734375" bestFit="1" customWidth="1"/>
  </cols>
  <sheetData>
    <row r="3" spans="1:7" x14ac:dyDescent="0.3">
      <c r="A3" s="46" t="s">
        <v>81</v>
      </c>
      <c r="B3" s="46" t="s">
        <v>78</v>
      </c>
    </row>
    <row r="4" spans="1:7" x14ac:dyDescent="0.3">
      <c r="A4" s="46" t="s">
        <v>80</v>
      </c>
      <c r="B4">
        <v>5</v>
      </c>
      <c r="C4">
        <v>10</v>
      </c>
      <c r="D4">
        <v>15</v>
      </c>
      <c r="E4">
        <v>20</v>
      </c>
      <c r="F4">
        <v>25</v>
      </c>
      <c r="G4" t="s">
        <v>79</v>
      </c>
    </row>
    <row r="5" spans="1:7" x14ac:dyDescent="0.3">
      <c r="A5" s="47">
        <v>100</v>
      </c>
      <c r="B5">
        <v>19.25</v>
      </c>
      <c r="C5">
        <v>18.25</v>
      </c>
      <c r="D5">
        <v>17.05</v>
      </c>
      <c r="E5">
        <v>15.85</v>
      </c>
      <c r="F5">
        <v>14.45</v>
      </c>
      <c r="G5">
        <v>16.97</v>
      </c>
    </row>
    <row r="6" spans="1:7" x14ac:dyDescent="0.3">
      <c r="A6" s="47">
        <v>125</v>
      </c>
      <c r="B6">
        <v>20.05</v>
      </c>
      <c r="C6">
        <v>19.2</v>
      </c>
      <c r="D6">
        <v>18.25</v>
      </c>
      <c r="E6">
        <v>17.25</v>
      </c>
      <c r="F6">
        <v>16</v>
      </c>
      <c r="G6">
        <v>18.149999999999999</v>
      </c>
    </row>
    <row r="7" spans="1:7" x14ac:dyDescent="0.3">
      <c r="A7" s="47">
        <v>150</v>
      </c>
      <c r="B7">
        <v>21.4</v>
      </c>
      <c r="C7">
        <v>21</v>
      </c>
      <c r="D7">
        <v>19.850000000000001</v>
      </c>
      <c r="E7">
        <v>18.8</v>
      </c>
      <c r="F7">
        <v>17.600000000000001</v>
      </c>
      <c r="G7">
        <v>19.73</v>
      </c>
    </row>
    <row r="8" spans="1:7" x14ac:dyDescent="0.3">
      <c r="A8" s="47">
        <v>175</v>
      </c>
      <c r="B8">
        <v>22</v>
      </c>
      <c r="C8">
        <v>21.75</v>
      </c>
      <c r="D8">
        <v>20.75</v>
      </c>
      <c r="E8">
        <v>19.75</v>
      </c>
      <c r="F8">
        <v>18.350000000000001</v>
      </c>
      <c r="G8">
        <v>20.52</v>
      </c>
    </row>
    <row r="9" spans="1:7" x14ac:dyDescent="0.3">
      <c r="A9" s="47">
        <v>200</v>
      </c>
      <c r="B9">
        <v>22.7</v>
      </c>
      <c r="C9">
        <v>22.35</v>
      </c>
      <c r="D9">
        <v>21.6</v>
      </c>
      <c r="E9">
        <v>20.55</v>
      </c>
      <c r="F9">
        <v>19.55</v>
      </c>
      <c r="G9">
        <v>21.35</v>
      </c>
    </row>
    <row r="10" spans="1:7" x14ac:dyDescent="0.3">
      <c r="A10" s="47" t="s">
        <v>79</v>
      </c>
      <c r="B10">
        <v>21.08</v>
      </c>
      <c r="C10">
        <v>20.51</v>
      </c>
      <c r="D10">
        <v>19.5</v>
      </c>
      <c r="E10">
        <v>18.440000000000001</v>
      </c>
      <c r="F10">
        <v>17.190000000000001</v>
      </c>
      <c r="G10">
        <v>19.344000000000001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D4FC5-3BB5-4C0C-9BDB-1D9264CE0A6C}">
  <dimension ref="A1:AD27"/>
  <sheetViews>
    <sheetView tabSelected="1" topLeftCell="L1" workbookViewId="0">
      <selection activeCell="AE6" sqref="AE6"/>
    </sheetView>
  </sheetViews>
  <sheetFormatPr defaultRowHeight="14.4" x14ac:dyDescent="0.3"/>
  <cols>
    <col min="11" max="11" width="29.21875" bestFit="1" customWidth="1"/>
    <col min="15" max="15" width="9.77734375" bestFit="1" customWidth="1"/>
    <col min="17" max="17" width="9.77734375" bestFit="1" customWidth="1"/>
    <col min="19" max="19" width="9.77734375" bestFit="1" customWidth="1"/>
  </cols>
  <sheetData>
    <row r="1" spans="1:30" x14ac:dyDescent="0.3">
      <c r="A1" s="58" t="s">
        <v>36</v>
      </c>
      <c r="B1" s="54"/>
      <c r="C1" s="55">
        <v>250</v>
      </c>
      <c r="D1" s="54"/>
      <c r="E1" s="55">
        <v>370</v>
      </c>
      <c r="F1" s="53"/>
      <c r="G1" s="59">
        <v>500</v>
      </c>
      <c r="H1" s="59"/>
      <c r="J1" s="60" t="s">
        <v>53</v>
      </c>
      <c r="K1" s="62" t="s">
        <v>54</v>
      </c>
      <c r="L1" s="53" t="s">
        <v>36</v>
      </c>
      <c r="M1" s="54"/>
      <c r="N1" s="55">
        <v>250</v>
      </c>
      <c r="O1" s="54"/>
      <c r="P1" s="55">
        <v>370</v>
      </c>
      <c r="Q1" s="54"/>
      <c r="R1" s="56">
        <v>500</v>
      </c>
      <c r="S1" s="57"/>
      <c r="U1" s="53" t="s">
        <v>36</v>
      </c>
      <c r="V1" s="54"/>
      <c r="W1" s="55">
        <v>250</v>
      </c>
      <c r="X1" s="54"/>
      <c r="Y1" s="55">
        <v>370</v>
      </c>
      <c r="Z1" s="54"/>
      <c r="AA1" s="56">
        <v>500</v>
      </c>
      <c r="AB1" s="57"/>
    </row>
    <row r="2" spans="1:30" x14ac:dyDescent="0.3">
      <c r="A2" s="5" t="s">
        <v>0</v>
      </c>
      <c r="B2" s="5" t="s">
        <v>1</v>
      </c>
      <c r="C2" s="5" t="s">
        <v>3</v>
      </c>
      <c r="D2" s="5" t="s">
        <v>28</v>
      </c>
      <c r="E2" s="5" t="s">
        <v>3</v>
      </c>
      <c r="F2" s="24" t="s">
        <v>28</v>
      </c>
      <c r="G2" s="5" t="s">
        <v>3</v>
      </c>
      <c r="H2" s="5" t="s">
        <v>28</v>
      </c>
      <c r="J2" s="61"/>
      <c r="K2" s="63"/>
      <c r="L2" s="42" t="s">
        <v>0</v>
      </c>
      <c r="M2" s="5" t="s">
        <v>1</v>
      </c>
      <c r="N2" s="5" t="s">
        <v>3</v>
      </c>
      <c r="O2" s="5" t="s">
        <v>75</v>
      </c>
      <c r="P2" s="5" t="s">
        <v>3</v>
      </c>
      <c r="Q2" s="5" t="s">
        <v>76</v>
      </c>
      <c r="R2" s="5" t="s">
        <v>3</v>
      </c>
      <c r="S2" s="5" t="s">
        <v>77</v>
      </c>
      <c r="U2" s="42" t="s">
        <v>0</v>
      </c>
      <c r="V2" s="5" t="s">
        <v>1</v>
      </c>
      <c r="W2" s="5" t="s">
        <v>3</v>
      </c>
      <c r="X2" s="5" t="s">
        <v>75</v>
      </c>
      <c r="Y2" s="5" t="s">
        <v>3</v>
      </c>
      <c r="Z2" s="5" t="s">
        <v>76</v>
      </c>
      <c r="AA2" s="5" t="s">
        <v>3</v>
      </c>
      <c r="AB2" s="5" t="s">
        <v>77</v>
      </c>
    </row>
    <row r="3" spans="1:30" x14ac:dyDescent="0.3">
      <c r="A3" s="5">
        <v>100</v>
      </c>
      <c r="B3" s="5">
        <v>5</v>
      </c>
      <c r="C3" s="1">
        <v>10.45</v>
      </c>
      <c r="D3" s="1">
        <v>250.07470000000001</v>
      </c>
      <c r="E3" s="1">
        <v>11.25</v>
      </c>
      <c r="F3" s="1">
        <v>366.61410000000001</v>
      </c>
      <c r="G3" s="1">
        <v>11.85</v>
      </c>
      <c r="H3" s="1">
        <v>504.91079999999999</v>
      </c>
      <c r="I3">
        <f>G3*2+1.3</f>
        <v>25</v>
      </c>
      <c r="J3" s="36" t="s">
        <v>55</v>
      </c>
      <c r="K3" s="43" t="s">
        <v>56</v>
      </c>
      <c r="L3" s="5">
        <v>100</v>
      </c>
      <c r="M3" s="5">
        <v>5</v>
      </c>
      <c r="N3" s="1">
        <v>19.25</v>
      </c>
      <c r="O3" s="1">
        <v>249.89099999999999</v>
      </c>
      <c r="P3" s="1">
        <v>22.15</v>
      </c>
      <c r="Q3" s="1">
        <v>379.30619999999999</v>
      </c>
      <c r="R3" s="1">
        <v>25</v>
      </c>
      <c r="S3" s="1">
        <v>511.87169999999998</v>
      </c>
      <c r="T3">
        <f>SLOPE(W3:W7,N3:N7)</f>
        <v>0.20459579180509407</v>
      </c>
      <c r="U3" s="5">
        <v>100</v>
      </c>
      <c r="V3" s="5">
        <v>5</v>
      </c>
      <c r="W3" s="17">
        <v>5.7</v>
      </c>
      <c r="X3" s="1">
        <v>244.2038</v>
      </c>
      <c r="Y3" s="1">
        <v>6.55</v>
      </c>
      <c r="Z3" s="1">
        <v>374.69760000000002</v>
      </c>
      <c r="AA3" s="1">
        <v>7.2</v>
      </c>
      <c r="AB3" s="1">
        <v>505.78280000000001</v>
      </c>
      <c r="AC3" s="48">
        <f>R3/P3*Y3-0.2</f>
        <v>7.1927765237020314</v>
      </c>
      <c r="AD3" s="48"/>
    </row>
    <row r="4" spans="1:30" x14ac:dyDescent="0.3">
      <c r="A4" s="5">
        <v>100</v>
      </c>
      <c r="B4" s="5">
        <v>10</v>
      </c>
      <c r="C4" s="1">
        <v>10</v>
      </c>
      <c r="D4" s="1">
        <v>248.27719999999999</v>
      </c>
      <c r="E4" s="1">
        <v>10.75</v>
      </c>
      <c r="F4" s="1">
        <v>376.40980000000002</v>
      </c>
      <c r="G4" s="1">
        <v>11.25</v>
      </c>
      <c r="H4" s="1">
        <v>505.50599999999997</v>
      </c>
      <c r="I4">
        <f t="shared" ref="I4:I7" si="0">G4*2+1.3</f>
        <v>23.8</v>
      </c>
      <c r="J4" s="38" t="s">
        <v>57</v>
      </c>
      <c r="K4" s="44" t="s">
        <v>58</v>
      </c>
      <c r="L4" s="5">
        <v>100</v>
      </c>
      <c r="M4" s="5">
        <v>10</v>
      </c>
      <c r="N4" s="1">
        <v>18.25</v>
      </c>
      <c r="O4" s="1">
        <v>250.26910000000001</v>
      </c>
      <c r="P4" s="1">
        <f>R4-(R3-P3)+0.55</f>
        <v>20.8</v>
      </c>
      <c r="Q4" s="1">
        <v>361.72430000000003</v>
      </c>
      <c r="R4" s="1">
        <v>23.1</v>
      </c>
      <c r="S4" s="1">
        <v>491.48820000000001</v>
      </c>
      <c r="T4">
        <f>INTERCEPT(W3:W7,N3:N7)</f>
        <v>1.6180094130675537</v>
      </c>
      <c r="U4" s="5">
        <v>100</v>
      </c>
      <c r="V4" s="5">
        <v>10</v>
      </c>
      <c r="W4" s="17">
        <v>5.3</v>
      </c>
      <c r="X4" s="1">
        <v>255.50219999999999</v>
      </c>
      <c r="Y4" s="1">
        <v>6.05</v>
      </c>
      <c r="Z4" s="1">
        <v>370.64800000000002</v>
      </c>
      <c r="AA4" s="1">
        <v>6.55</v>
      </c>
      <c r="AB4" s="1">
        <v>499.15309999999999</v>
      </c>
      <c r="AC4" s="48">
        <f t="shared" ref="AC4:AC7" si="1">R4/P4*Y4-0.2</f>
        <v>6.5189903846153845</v>
      </c>
      <c r="AD4" s="48"/>
    </row>
    <row r="5" spans="1:30" x14ac:dyDescent="0.3">
      <c r="A5" s="5">
        <v>100</v>
      </c>
      <c r="B5" s="5">
        <v>15</v>
      </c>
      <c r="C5" s="1">
        <v>9.75</v>
      </c>
      <c r="D5" s="1">
        <v>246.75299999999999</v>
      </c>
      <c r="E5" s="1">
        <v>10.45</v>
      </c>
      <c r="F5" s="1">
        <v>372.49169999999998</v>
      </c>
      <c r="G5" s="1">
        <v>10.95</v>
      </c>
      <c r="H5" s="1">
        <v>505.98169999999999</v>
      </c>
      <c r="I5">
        <f t="shared" si="0"/>
        <v>23.2</v>
      </c>
      <c r="J5" s="38" t="s">
        <v>59</v>
      </c>
      <c r="K5" s="44" t="s">
        <v>60</v>
      </c>
      <c r="L5" s="5">
        <v>100</v>
      </c>
      <c r="M5" s="5">
        <v>15</v>
      </c>
      <c r="N5" s="1">
        <v>17.05</v>
      </c>
      <c r="O5" s="1">
        <v>255.4161</v>
      </c>
      <c r="P5" s="1">
        <f t="shared" ref="P5:P6" si="2">R5-(R4-P4)</f>
        <v>19.2</v>
      </c>
      <c r="Q5" s="1">
        <v>374.30119999999999</v>
      </c>
      <c r="R5" s="1">
        <v>21.5</v>
      </c>
      <c r="S5" s="1">
        <v>500.1585</v>
      </c>
      <c r="U5" s="5">
        <v>100</v>
      </c>
      <c r="V5" s="5">
        <v>15</v>
      </c>
      <c r="W5" s="17">
        <v>4.95</v>
      </c>
      <c r="X5" s="1">
        <v>247.1009</v>
      </c>
      <c r="Y5" s="1">
        <v>5.7</v>
      </c>
      <c r="Z5" s="1">
        <v>371.82889999999998</v>
      </c>
      <c r="AA5" s="1">
        <v>6.25</v>
      </c>
      <c r="AB5" s="1">
        <v>502.92169999999999</v>
      </c>
      <c r="AC5" s="48">
        <f t="shared" si="1"/>
        <v>6.1828125000000007</v>
      </c>
      <c r="AD5" s="48"/>
    </row>
    <row r="6" spans="1:30" ht="15.6" x14ac:dyDescent="0.3">
      <c r="A6" s="5">
        <v>100</v>
      </c>
      <c r="B6" s="5">
        <v>20</v>
      </c>
      <c r="C6" s="1">
        <v>9.6</v>
      </c>
      <c r="D6" s="1">
        <v>245.79339999999999</v>
      </c>
      <c r="E6" s="1">
        <v>10.25</v>
      </c>
      <c r="F6" s="1">
        <v>378.69650000000001</v>
      </c>
      <c r="G6" s="1">
        <v>10.75</v>
      </c>
      <c r="H6" s="1">
        <v>505.5453</v>
      </c>
      <c r="I6">
        <f t="shared" si="0"/>
        <v>22.8</v>
      </c>
      <c r="J6" s="38" t="s">
        <v>64</v>
      </c>
      <c r="K6" s="44" t="s">
        <v>61</v>
      </c>
      <c r="L6" s="5">
        <v>100</v>
      </c>
      <c r="M6" s="5">
        <v>20</v>
      </c>
      <c r="N6" s="1">
        <v>15.85</v>
      </c>
      <c r="O6" s="1">
        <v>259.05040000000002</v>
      </c>
      <c r="P6" s="1">
        <f t="shared" si="2"/>
        <v>17.599999999999998</v>
      </c>
      <c r="Q6" s="1">
        <v>365.78660000000002</v>
      </c>
      <c r="R6" s="1">
        <v>19.899999999999999</v>
      </c>
      <c r="S6" s="33">
        <v>514.077</v>
      </c>
      <c r="U6" s="5">
        <v>100</v>
      </c>
      <c r="V6" s="5">
        <v>20</v>
      </c>
      <c r="W6" s="17">
        <v>4.8</v>
      </c>
      <c r="X6" s="1">
        <v>254.9263</v>
      </c>
      <c r="Y6" s="1">
        <v>5.5</v>
      </c>
      <c r="Z6" s="1">
        <v>371.59589999999997</v>
      </c>
      <c r="AA6" s="1">
        <v>6</v>
      </c>
      <c r="AB6" s="33">
        <v>495.63959999999997</v>
      </c>
      <c r="AC6" s="48">
        <f t="shared" si="1"/>
        <v>6.0187500000000007</v>
      </c>
      <c r="AD6" s="48"/>
    </row>
    <row r="7" spans="1:30" x14ac:dyDescent="0.3">
      <c r="A7" s="5">
        <v>100</v>
      </c>
      <c r="B7" s="5">
        <v>25</v>
      </c>
      <c r="C7" s="1">
        <v>9.5</v>
      </c>
      <c r="D7" s="1">
        <v>256.80689999999998</v>
      </c>
      <c r="E7" s="1">
        <v>10.050000000000001</v>
      </c>
      <c r="F7" s="1">
        <v>369.66019999999997</v>
      </c>
      <c r="G7" s="1">
        <v>10.55</v>
      </c>
      <c r="H7" s="1">
        <v>509.19479999999999</v>
      </c>
      <c r="I7">
        <f t="shared" si="0"/>
        <v>22.400000000000002</v>
      </c>
      <c r="J7" s="40" t="s">
        <v>63</v>
      </c>
      <c r="K7" s="45" t="s">
        <v>62</v>
      </c>
      <c r="L7" s="5">
        <v>100</v>
      </c>
      <c r="M7" s="5">
        <v>25</v>
      </c>
      <c r="N7" s="1">
        <v>14.45</v>
      </c>
      <c r="O7" s="1">
        <v>244.96369999999999</v>
      </c>
      <c r="P7" s="1">
        <f>R7-(R6-P6)+0.15+0.2</f>
        <v>16.2</v>
      </c>
      <c r="Q7" s="1">
        <v>356.95859999999999</v>
      </c>
      <c r="R7" s="1">
        <v>18.149999999999999</v>
      </c>
      <c r="S7" s="1">
        <v>502.90159999999997</v>
      </c>
      <c r="U7" s="5">
        <v>100</v>
      </c>
      <c r="V7" s="5">
        <v>25</v>
      </c>
      <c r="W7" s="17">
        <v>4.7</v>
      </c>
      <c r="X7" s="1">
        <v>254.7302</v>
      </c>
      <c r="Y7" s="1">
        <v>5.3</v>
      </c>
      <c r="Z7" s="1">
        <v>370.01369999999997</v>
      </c>
      <c r="AA7" s="1">
        <v>5.85</v>
      </c>
      <c r="AB7" s="1">
        <v>502.92169999999999</v>
      </c>
      <c r="AC7" s="48">
        <f t="shared" si="1"/>
        <v>5.7379629629629623</v>
      </c>
      <c r="AD7" s="48"/>
    </row>
    <row r="8" spans="1:30" x14ac:dyDescent="0.3">
      <c r="A8" s="5">
        <v>125</v>
      </c>
      <c r="B8" s="5">
        <v>5</v>
      </c>
      <c r="C8" s="1">
        <v>10.7</v>
      </c>
      <c r="D8" s="1">
        <v>255.57320000000001</v>
      </c>
      <c r="E8" s="1">
        <v>11.5</v>
      </c>
      <c r="F8" s="1">
        <v>371.96120000000002</v>
      </c>
      <c r="G8" s="1">
        <v>12.1</v>
      </c>
      <c r="H8" s="1">
        <v>498.42509999999999</v>
      </c>
      <c r="J8" s="36" t="s">
        <v>55</v>
      </c>
      <c r="K8" s="43" t="s">
        <v>56</v>
      </c>
      <c r="L8" s="5">
        <v>125</v>
      </c>
      <c r="M8" s="5">
        <v>5</v>
      </c>
      <c r="N8" s="1">
        <v>20.05</v>
      </c>
      <c r="O8" s="1">
        <v>245.08</v>
      </c>
      <c r="P8" s="1">
        <f>N8+(P3-N3)+0.4</f>
        <v>23.349999999999998</v>
      </c>
      <c r="Q8" s="1">
        <v>369.11099999999999</v>
      </c>
      <c r="R8" s="1">
        <f>R3+(P8-P3)</f>
        <v>26.2</v>
      </c>
      <c r="S8" s="1">
        <v>509.83139999999997</v>
      </c>
      <c r="U8" s="5">
        <v>125</v>
      </c>
      <c r="V8" s="5">
        <v>5</v>
      </c>
      <c r="W8" s="17">
        <f>N8/N3*W3</f>
        <v>5.9368831168831173</v>
      </c>
      <c r="Y8" s="1"/>
      <c r="Z8" s="1"/>
      <c r="AA8" s="1"/>
      <c r="AB8" s="1"/>
    </row>
    <row r="9" spans="1:30" x14ac:dyDescent="0.3">
      <c r="A9" s="5">
        <v>125</v>
      </c>
      <c r="B9" s="5">
        <v>10</v>
      </c>
      <c r="C9" s="1">
        <v>10.25</v>
      </c>
      <c r="D9" s="1">
        <v>252.90289999999999</v>
      </c>
      <c r="E9" s="1">
        <v>11</v>
      </c>
      <c r="F9" s="1">
        <v>369.02620000000002</v>
      </c>
      <c r="G9" s="1">
        <v>11.55</v>
      </c>
      <c r="H9" s="1">
        <v>502.7106</v>
      </c>
      <c r="J9" s="38" t="s">
        <v>57</v>
      </c>
      <c r="K9" s="44" t="s">
        <v>58</v>
      </c>
      <c r="L9" s="5">
        <v>125</v>
      </c>
      <c r="M9" s="5">
        <v>10</v>
      </c>
      <c r="N9" s="1">
        <v>19.2</v>
      </c>
      <c r="O9" s="1">
        <v>244.32069999999999</v>
      </c>
      <c r="P9" s="1">
        <v>22.4</v>
      </c>
      <c r="Q9" s="1">
        <v>369.03179999999998</v>
      </c>
      <c r="R9" s="1">
        <v>25.15</v>
      </c>
      <c r="S9" s="1">
        <v>495.36689999999999</v>
      </c>
      <c r="U9" s="5">
        <v>125</v>
      </c>
      <c r="V9" s="5">
        <v>10</v>
      </c>
      <c r="W9" s="17">
        <f t="shared" ref="W9:W27" si="3">N9/N4*W4</f>
        <v>5.5758904109589036</v>
      </c>
      <c r="X9" s="1"/>
      <c r="Y9" s="1"/>
      <c r="Z9" s="1"/>
      <c r="AA9" s="1"/>
      <c r="AB9" s="1"/>
    </row>
    <row r="10" spans="1:30" x14ac:dyDescent="0.3">
      <c r="A10" s="5">
        <v>125</v>
      </c>
      <c r="B10" s="5">
        <v>15</v>
      </c>
      <c r="C10" s="1">
        <v>10.050000000000001</v>
      </c>
      <c r="D10" s="1">
        <v>250.7072</v>
      </c>
      <c r="E10" s="1">
        <v>10.75</v>
      </c>
      <c r="F10" s="1">
        <v>371.40649999999999</v>
      </c>
      <c r="G10" s="1">
        <v>11.25</v>
      </c>
      <c r="H10" s="1">
        <v>490.82619999999997</v>
      </c>
      <c r="J10" s="38" t="s">
        <v>59</v>
      </c>
      <c r="K10" s="44" t="s">
        <v>60</v>
      </c>
      <c r="L10" s="5">
        <v>125</v>
      </c>
      <c r="M10" s="5">
        <v>15</v>
      </c>
      <c r="N10" s="1">
        <v>18.25</v>
      </c>
      <c r="O10" s="1">
        <v>240.81379999999999</v>
      </c>
      <c r="P10" s="1">
        <v>21.1</v>
      </c>
      <c r="Q10" s="1">
        <v>374.74630000000002</v>
      </c>
      <c r="R10" s="1">
        <v>23.5</v>
      </c>
      <c r="S10" s="1">
        <v>505.86290000000002</v>
      </c>
      <c r="U10" s="5">
        <v>125</v>
      </c>
      <c r="V10" s="5">
        <v>15</v>
      </c>
      <c r="W10" s="17">
        <f t="shared" si="3"/>
        <v>5.2983870967741931</v>
      </c>
      <c r="X10" s="1"/>
      <c r="Y10" s="1"/>
      <c r="Z10" s="1"/>
      <c r="AA10" s="1"/>
      <c r="AB10" s="1"/>
    </row>
    <row r="11" spans="1:30" x14ac:dyDescent="0.3">
      <c r="A11" s="5">
        <v>125</v>
      </c>
      <c r="B11" s="5">
        <v>20</v>
      </c>
      <c r="C11" s="1">
        <v>9.85</v>
      </c>
      <c r="D11" s="1">
        <v>246.35290000000001</v>
      </c>
      <c r="E11" s="1">
        <v>10.55</v>
      </c>
      <c r="F11" s="1">
        <v>377.20479999999998</v>
      </c>
      <c r="G11" s="1">
        <v>11.05</v>
      </c>
      <c r="H11" s="1">
        <v>500.26740000000001</v>
      </c>
      <c r="J11" s="38" t="s">
        <v>64</v>
      </c>
      <c r="K11" s="44" t="s">
        <v>61</v>
      </c>
      <c r="L11" s="5">
        <v>125</v>
      </c>
      <c r="M11" s="5">
        <v>20</v>
      </c>
      <c r="N11" s="1">
        <v>17.25</v>
      </c>
      <c r="O11" s="1">
        <v>257.28530000000001</v>
      </c>
      <c r="P11" s="1">
        <f t="shared" ref="P11" si="4">N11+(P6-N6)+0.4</f>
        <v>19.399999999999999</v>
      </c>
      <c r="Q11" s="1">
        <v>363.2045</v>
      </c>
      <c r="R11" s="1">
        <v>21.7</v>
      </c>
      <c r="S11" s="1">
        <v>499.75880000000001</v>
      </c>
      <c r="U11" s="5">
        <v>125</v>
      </c>
      <c r="V11" s="5">
        <v>20</v>
      </c>
      <c r="W11" s="17">
        <f t="shared" si="3"/>
        <v>5.2239747634069404</v>
      </c>
      <c r="X11" s="1"/>
      <c r="Y11" s="1"/>
      <c r="Z11" s="1"/>
      <c r="AA11" s="1"/>
      <c r="AB11" s="1"/>
    </row>
    <row r="12" spans="1:30" x14ac:dyDescent="0.3">
      <c r="A12" s="5">
        <v>125</v>
      </c>
      <c r="B12" s="5">
        <v>25</v>
      </c>
      <c r="C12" s="1">
        <v>9.75</v>
      </c>
      <c r="D12" s="1">
        <v>250.8844</v>
      </c>
      <c r="E12" s="1">
        <v>10.35</v>
      </c>
      <c r="F12" s="1">
        <v>366.31700000000001</v>
      </c>
      <c r="G12" s="1">
        <v>10.85</v>
      </c>
      <c r="H12" s="1">
        <v>502.49889999999999</v>
      </c>
      <c r="J12" s="40" t="s">
        <v>63</v>
      </c>
      <c r="K12" s="45" t="s">
        <v>62</v>
      </c>
      <c r="L12" s="5">
        <v>125</v>
      </c>
      <c r="M12" s="5">
        <v>25</v>
      </c>
      <c r="N12" s="1">
        <v>16</v>
      </c>
      <c r="O12" s="1">
        <v>244.84139999999999</v>
      </c>
      <c r="P12" s="1">
        <f>N12+(P7-N7)+0.5</f>
        <v>18.25</v>
      </c>
      <c r="Q12" s="1">
        <v>374.79239999999999</v>
      </c>
      <c r="R12" s="1">
        <v>20</v>
      </c>
      <c r="S12" s="1">
        <v>494.38229999999999</v>
      </c>
      <c r="U12" s="5">
        <v>125</v>
      </c>
      <c r="V12" s="5">
        <v>25</v>
      </c>
      <c r="W12" s="17">
        <f t="shared" si="3"/>
        <v>5.2041522491349488</v>
      </c>
      <c r="X12" s="1"/>
      <c r="Y12" s="1"/>
      <c r="Z12" s="1"/>
      <c r="AA12" s="1"/>
      <c r="AB12" s="1"/>
    </row>
    <row r="13" spans="1:30" x14ac:dyDescent="0.3">
      <c r="A13" s="5">
        <v>150</v>
      </c>
      <c r="B13" s="5">
        <v>5</v>
      </c>
      <c r="C13" s="1">
        <v>10.85</v>
      </c>
      <c r="D13" s="1">
        <v>253.87880000000001</v>
      </c>
      <c r="E13" s="1">
        <v>11.7</v>
      </c>
      <c r="F13" s="1">
        <v>367.00580000000002</v>
      </c>
      <c r="G13" s="1">
        <v>12.4</v>
      </c>
      <c r="H13" s="1">
        <v>508.04450000000003</v>
      </c>
      <c r="J13" s="36" t="s">
        <v>65</v>
      </c>
      <c r="K13" s="43" t="s">
        <v>66</v>
      </c>
      <c r="L13" s="5">
        <v>150</v>
      </c>
      <c r="M13" s="5">
        <v>5</v>
      </c>
      <c r="N13" s="1">
        <v>21.4</v>
      </c>
      <c r="O13" s="1">
        <v>258.95060000000001</v>
      </c>
      <c r="P13" s="1">
        <f>N13+(P8-N8)</f>
        <v>24.699999999999996</v>
      </c>
      <c r="Q13" s="1">
        <v>376.15719999999999</v>
      </c>
      <c r="R13" s="1">
        <f>P13+(R8-P8)</f>
        <v>27.549999999999997</v>
      </c>
      <c r="S13" s="1">
        <v>496.04020000000003</v>
      </c>
      <c r="U13" s="5">
        <v>150</v>
      </c>
      <c r="V13" s="5">
        <v>5</v>
      </c>
      <c r="W13" s="17">
        <v>6.15</v>
      </c>
      <c r="X13" s="1">
        <v>255.86580000000001</v>
      </c>
      <c r="Y13" s="1"/>
      <c r="Z13" s="1"/>
      <c r="AA13" s="1"/>
      <c r="AB13" s="1"/>
    </row>
    <row r="14" spans="1:30" x14ac:dyDescent="0.3">
      <c r="A14" s="5">
        <v>150</v>
      </c>
      <c r="B14" s="5">
        <v>10</v>
      </c>
      <c r="C14" s="1">
        <v>10.4</v>
      </c>
      <c r="D14" s="1">
        <v>249.2807</v>
      </c>
      <c r="E14" s="1">
        <v>11.200000000000001</v>
      </c>
      <c r="F14" s="1">
        <v>371.41370000000001</v>
      </c>
      <c r="G14" s="1">
        <v>11.85</v>
      </c>
      <c r="H14" s="1">
        <v>509.5566</v>
      </c>
      <c r="J14" s="38" t="s">
        <v>67</v>
      </c>
      <c r="K14" s="44" t="s">
        <v>68</v>
      </c>
      <c r="L14" s="5">
        <v>150</v>
      </c>
      <c r="M14" s="5">
        <v>10</v>
      </c>
      <c r="N14" s="1">
        <v>21</v>
      </c>
      <c r="O14" s="1">
        <v>257.6053</v>
      </c>
      <c r="P14" s="1">
        <v>24.05</v>
      </c>
      <c r="Q14" s="1">
        <v>371.04</v>
      </c>
      <c r="R14" s="1">
        <v>26.65</v>
      </c>
      <c r="S14" s="1">
        <v>505.19200000000001</v>
      </c>
      <c r="U14" s="5">
        <v>150</v>
      </c>
      <c r="V14" s="5">
        <v>10</v>
      </c>
      <c r="W14" s="17">
        <v>5.75</v>
      </c>
      <c r="X14" s="1">
        <v>248.43709999999999</v>
      </c>
      <c r="Y14" s="1"/>
      <c r="Z14" s="1"/>
      <c r="AA14" s="1"/>
      <c r="AB14" s="1"/>
    </row>
    <row r="15" spans="1:30" x14ac:dyDescent="0.3">
      <c r="A15" s="5">
        <v>150</v>
      </c>
      <c r="B15" s="5">
        <v>15</v>
      </c>
      <c r="C15" s="1">
        <v>10.199999999999999</v>
      </c>
      <c r="D15" s="1">
        <v>248.06479999999999</v>
      </c>
      <c r="E15" s="1">
        <v>10.950000000000001</v>
      </c>
      <c r="F15" s="1">
        <v>368.30880000000002</v>
      </c>
      <c r="G15" s="1">
        <v>11.5</v>
      </c>
      <c r="H15" s="1">
        <v>505.1798</v>
      </c>
      <c r="J15" s="38" t="s">
        <v>69</v>
      </c>
      <c r="K15" s="44" t="s">
        <v>70</v>
      </c>
      <c r="L15" s="5">
        <v>150</v>
      </c>
      <c r="M15" s="5">
        <v>15</v>
      </c>
      <c r="N15" s="1">
        <v>19.850000000000001</v>
      </c>
      <c r="O15" s="1">
        <v>250.5778</v>
      </c>
      <c r="P15" s="1">
        <v>22.5</v>
      </c>
      <c r="Q15" s="1">
        <v>361.79610000000002</v>
      </c>
      <c r="R15" s="1">
        <v>25</v>
      </c>
      <c r="S15" s="1">
        <v>500.32530000000003</v>
      </c>
      <c r="U15" s="5">
        <v>150</v>
      </c>
      <c r="V15" s="5">
        <v>15</v>
      </c>
      <c r="W15" s="17">
        <v>5.45</v>
      </c>
      <c r="X15">
        <v>249.85329999999999</v>
      </c>
      <c r="Y15" s="1"/>
      <c r="Z15" s="1"/>
      <c r="AA15" s="1"/>
      <c r="AB15" s="1"/>
    </row>
    <row r="16" spans="1:30" x14ac:dyDescent="0.3">
      <c r="A16" s="5">
        <v>150</v>
      </c>
      <c r="B16" s="5">
        <v>20</v>
      </c>
      <c r="C16" s="1">
        <v>10.050000000000001</v>
      </c>
      <c r="D16" s="1">
        <v>245.9033</v>
      </c>
      <c r="E16" s="1">
        <v>10.750000000000002</v>
      </c>
      <c r="F16" s="1">
        <v>364.84</v>
      </c>
      <c r="G16" s="1">
        <v>11.35</v>
      </c>
      <c r="H16" s="1">
        <v>510.44</v>
      </c>
      <c r="J16" s="38" t="s">
        <v>71</v>
      </c>
      <c r="K16" s="44" t="s">
        <v>72</v>
      </c>
      <c r="L16" s="5">
        <v>150</v>
      </c>
      <c r="M16" s="5">
        <v>20</v>
      </c>
      <c r="N16" s="1">
        <v>18.8</v>
      </c>
      <c r="O16" s="1">
        <v>258.6807</v>
      </c>
      <c r="P16" s="1">
        <v>21.2</v>
      </c>
      <c r="Q16" s="1">
        <v>363.40870000000001</v>
      </c>
      <c r="R16" s="1">
        <f t="shared" ref="R16" si="5">P16+(R11-P11)</f>
        <v>23.5</v>
      </c>
      <c r="S16" s="1">
        <v>498.72699999999998</v>
      </c>
      <c r="U16" s="5">
        <v>150</v>
      </c>
      <c r="V16" s="5">
        <v>20</v>
      </c>
      <c r="W16" s="17">
        <v>5.3</v>
      </c>
      <c r="X16" s="1">
        <v>253.76159999999999</v>
      </c>
      <c r="Y16" s="1"/>
      <c r="Z16" s="1"/>
      <c r="AA16" s="1"/>
      <c r="AB16" s="1"/>
    </row>
    <row r="17" spans="1:28" x14ac:dyDescent="0.3">
      <c r="A17" s="5">
        <v>150</v>
      </c>
      <c r="B17" s="5">
        <v>25</v>
      </c>
      <c r="C17" s="1">
        <v>9.9499999999999993</v>
      </c>
      <c r="D17" s="1">
        <v>251.96899999999999</v>
      </c>
      <c r="E17" s="1">
        <v>10.6</v>
      </c>
      <c r="F17" s="1">
        <v>376.1669</v>
      </c>
      <c r="G17" s="1">
        <v>11.15</v>
      </c>
      <c r="H17" s="1">
        <v>508.01620000000003</v>
      </c>
      <c r="J17" s="40" t="s">
        <v>73</v>
      </c>
      <c r="K17" s="45" t="s">
        <v>74</v>
      </c>
      <c r="L17" s="34">
        <v>150</v>
      </c>
      <c r="M17" s="34">
        <v>25</v>
      </c>
      <c r="N17" s="35">
        <v>17.600000000000001</v>
      </c>
      <c r="O17" s="35">
        <v>252.79050000000001</v>
      </c>
      <c r="P17" s="35">
        <f t="shared" ref="P17" si="6">N17+(P12-N12)</f>
        <v>19.850000000000001</v>
      </c>
      <c r="Q17" s="35">
        <v>374.36410000000001</v>
      </c>
      <c r="R17" s="35">
        <v>21.95</v>
      </c>
      <c r="S17" s="35">
        <v>490.98450000000003</v>
      </c>
      <c r="U17" s="34">
        <v>150</v>
      </c>
      <c r="V17" s="34">
        <v>25</v>
      </c>
      <c r="W17" s="17">
        <v>5.2</v>
      </c>
      <c r="X17" s="35">
        <v>254.1696</v>
      </c>
      <c r="Y17" s="35"/>
      <c r="Z17" s="35"/>
      <c r="AA17" s="35"/>
      <c r="AB17" s="35"/>
    </row>
    <row r="18" spans="1:28" x14ac:dyDescent="0.3">
      <c r="A18" s="5">
        <v>175</v>
      </c>
      <c r="B18" s="5">
        <v>5</v>
      </c>
      <c r="C18" s="1">
        <v>11</v>
      </c>
      <c r="D18" s="1">
        <v>258.27940000000001</v>
      </c>
      <c r="E18" s="1">
        <v>11.849999999999998</v>
      </c>
      <c r="F18" s="1">
        <v>362.4744</v>
      </c>
      <c r="G18" s="1">
        <v>12.55</v>
      </c>
      <c r="H18" s="1">
        <v>502.57580000000002</v>
      </c>
      <c r="J18" s="36" t="s">
        <v>65</v>
      </c>
      <c r="K18" s="37" t="s">
        <v>66</v>
      </c>
      <c r="L18" s="5">
        <v>175</v>
      </c>
      <c r="M18" s="5">
        <v>5</v>
      </c>
      <c r="N18" s="1">
        <v>22</v>
      </c>
      <c r="O18" s="1">
        <v>256.59989999999999</v>
      </c>
      <c r="P18" s="1">
        <f>P13+(P13-P8)</f>
        <v>26.049999999999994</v>
      </c>
      <c r="Q18" s="1">
        <v>372.38839999999999</v>
      </c>
      <c r="R18" s="1">
        <f t="shared" ref="R18" si="7">R13+(R13-R8)</f>
        <v>28.899999999999995</v>
      </c>
      <c r="S18" s="1">
        <v>507.6782</v>
      </c>
      <c r="U18" s="5">
        <v>175</v>
      </c>
      <c r="V18" s="5">
        <v>5</v>
      </c>
      <c r="W18" s="17">
        <f t="shared" si="3"/>
        <v>6.3224299065420571</v>
      </c>
      <c r="X18" s="1"/>
      <c r="Y18" s="1"/>
      <c r="Z18" s="1"/>
      <c r="AA18" s="1"/>
      <c r="AB18" s="1"/>
    </row>
    <row r="19" spans="1:28" x14ac:dyDescent="0.3">
      <c r="A19" s="5">
        <v>175</v>
      </c>
      <c r="B19" s="5">
        <v>10</v>
      </c>
      <c r="C19" s="1">
        <v>10.55</v>
      </c>
      <c r="D19" s="1">
        <v>252.71799999999999</v>
      </c>
      <c r="E19" s="1">
        <v>11.350000000000001</v>
      </c>
      <c r="F19" s="1">
        <v>368.35469999999998</v>
      </c>
      <c r="G19" s="1">
        <v>11.999999999999998</v>
      </c>
      <c r="H19" s="1">
        <v>514.36220000000003</v>
      </c>
      <c r="J19" s="38" t="s">
        <v>67</v>
      </c>
      <c r="K19" s="39" t="s">
        <v>68</v>
      </c>
      <c r="L19" s="5">
        <v>175</v>
      </c>
      <c r="M19" s="5">
        <v>10</v>
      </c>
      <c r="N19" s="1">
        <v>21.75</v>
      </c>
      <c r="O19" s="1">
        <v>253.0472</v>
      </c>
      <c r="P19" s="1">
        <v>25.05</v>
      </c>
      <c r="Q19" s="1">
        <v>367.74810000000002</v>
      </c>
      <c r="R19" s="1">
        <f t="shared" ref="P19:R25" si="8">R14+(R14-R9)</f>
        <v>28.15</v>
      </c>
      <c r="S19" s="1">
        <v>501.27820000000003</v>
      </c>
      <c r="U19" s="5">
        <v>175</v>
      </c>
      <c r="V19" s="5">
        <v>10</v>
      </c>
      <c r="W19" s="17">
        <f t="shared" si="3"/>
        <v>5.9553571428571432</v>
      </c>
      <c r="X19" s="1"/>
      <c r="Y19" s="1"/>
      <c r="Z19" s="1"/>
      <c r="AA19" s="1"/>
      <c r="AB19" s="1"/>
    </row>
    <row r="20" spans="1:28" x14ac:dyDescent="0.3">
      <c r="A20" s="5">
        <v>175</v>
      </c>
      <c r="B20" s="5">
        <v>15</v>
      </c>
      <c r="C20" s="1">
        <v>10.349999999999998</v>
      </c>
      <c r="D20" s="1">
        <v>251.84379999999999</v>
      </c>
      <c r="E20" s="1">
        <v>11.100000000000001</v>
      </c>
      <c r="F20" s="1">
        <v>369.28910000000002</v>
      </c>
      <c r="G20" s="1">
        <v>11.65</v>
      </c>
      <c r="H20" s="1">
        <v>499.4939</v>
      </c>
      <c r="J20" s="38" t="s">
        <v>69</v>
      </c>
      <c r="K20" s="39" t="s">
        <v>70</v>
      </c>
      <c r="L20" s="5">
        <v>175</v>
      </c>
      <c r="M20" s="5">
        <v>15</v>
      </c>
      <c r="N20" s="1">
        <v>20.75</v>
      </c>
      <c r="O20" s="1">
        <v>249.5513</v>
      </c>
      <c r="P20" s="1">
        <f t="shared" si="8"/>
        <v>23.9</v>
      </c>
      <c r="Q20" s="1">
        <v>375.32780000000002</v>
      </c>
      <c r="R20" s="1">
        <f>R15+(R15-R10)+0.1</f>
        <v>26.6</v>
      </c>
      <c r="S20" s="1">
        <v>509.19470000000001</v>
      </c>
      <c r="U20" s="5">
        <v>175</v>
      </c>
      <c r="V20" s="5">
        <v>15</v>
      </c>
      <c r="W20" s="17">
        <f t="shared" si="3"/>
        <v>5.6971032745591934</v>
      </c>
      <c r="X20" s="1"/>
      <c r="Y20" s="1"/>
      <c r="Z20" s="1"/>
      <c r="AA20" s="1"/>
      <c r="AB20" s="1"/>
    </row>
    <row r="21" spans="1:28" x14ac:dyDescent="0.3">
      <c r="A21" s="5">
        <v>175</v>
      </c>
      <c r="B21" s="5">
        <v>20</v>
      </c>
      <c r="C21" s="1">
        <v>10.250000000000002</v>
      </c>
      <c r="D21" s="1">
        <v>258.40109999999999</v>
      </c>
      <c r="E21" s="1">
        <v>10.900000000000002</v>
      </c>
      <c r="F21" s="1">
        <v>368.61239999999998</v>
      </c>
      <c r="G21" s="1">
        <v>11.499999999999998</v>
      </c>
      <c r="H21" s="1">
        <v>509.33229999999998</v>
      </c>
      <c r="J21" s="38" t="s">
        <v>71</v>
      </c>
      <c r="K21" s="39" t="s">
        <v>72</v>
      </c>
      <c r="L21" s="5">
        <v>175</v>
      </c>
      <c r="M21" s="5">
        <v>20</v>
      </c>
      <c r="N21" s="1">
        <v>19.75</v>
      </c>
      <c r="O21" s="1">
        <v>258.00970000000001</v>
      </c>
      <c r="P21" s="1">
        <v>22.5</v>
      </c>
      <c r="Q21" s="1">
        <v>363.61759999999998</v>
      </c>
      <c r="R21" s="1">
        <f t="shared" si="8"/>
        <v>25.3</v>
      </c>
      <c r="S21" s="1">
        <v>502.07049999999998</v>
      </c>
      <c r="U21" s="5">
        <v>175</v>
      </c>
      <c r="V21" s="5">
        <v>20</v>
      </c>
      <c r="W21" s="17">
        <f t="shared" si="3"/>
        <v>5.5678191489361701</v>
      </c>
      <c r="X21" s="1"/>
      <c r="Y21" s="1"/>
      <c r="Z21" s="1"/>
      <c r="AA21" s="1"/>
      <c r="AB21" s="1"/>
    </row>
    <row r="22" spans="1:28" x14ac:dyDescent="0.3">
      <c r="A22" s="5">
        <v>175</v>
      </c>
      <c r="B22" s="5">
        <v>25</v>
      </c>
      <c r="C22" s="1">
        <v>10.149999999999999</v>
      </c>
      <c r="D22" s="1">
        <v>260.10489999999999</v>
      </c>
      <c r="E22" s="1">
        <v>10.799999999999999</v>
      </c>
      <c r="F22" s="1">
        <v>371.0147</v>
      </c>
      <c r="G22" s="1">
        <v>11.3</v>
      </c>
      <c r="H22" s="1">
        <v>498.25580000000002</v>
      </c>
      <c r="J22" s="40" t="s">
        <v>73</v>
      </c>
      <c r="K22" s="41" t="s">
        <v>74</v>
      </c>
      <c r="L22" s="5">
        <v>175</v>
      </c>
      <c r="M22" s="5">
        <v>25</v>
      </c>
      <c r="N22" s="1">
        <v>18.350000000000001</v>
      </c>
      <c r="O22" s="1">
        <v>243.5736</v>
      </c>
      <c r="P22" s="1">
        <f t="shared" si="8"/>
        <v>21.450000000000003</v>
      </c>
      <c r="Q22" s="1">
        <v>376.62740000000002</v>
      </c>
      <c r="R22" s="1">
        <f>R17+(R17-R12)-0.1</f>
        <v>23.799999999999997</v>
      </c>
      <c r="S22" s="1">
        <v>514.0222</v>
      </c>
      <c r="U22" s="5">
        <v>175</v>
      </c>
      <c r="V22" s="5">
        <v>25</v>
      </c>
      <c r="W22" s="17">
        <f t="shared" si="3"/>
        <v>5.4215909090909102</v>
      </c>
      <c r="X22" s="1"/>
      <c r="Y22" s="1"/>
      <c r="Z22" s="1"/>
      <c r="AA22" s="1"/>
      <c r="AB22" s="1"/>
    </row>
    <row r="23" spans="1:28" x14ac:dyDescent="0.3">
      <c r="A23" s="5">
        <v>200</v>
      </c>
      <c r="B23" s="5">
        <v>5</v>
      </c>
      <c r="C23" s="1">
        <v>11.1</v>
      </c>
      <c r="D23" s="1">
        <v>258.4289</v>
      </c>
      <c r="E23" s="1">
        <v>11.95</v>
      </c>
      <c r="F23" s="1">
        <v>372.33159999999998</v>
      </c>
      <c r="G23" s="1">
        <v>12.75</v>
      </c>
      <c r="H23" s="1">
        <v>516.69680000000005</v>
      </c>
      <c r="J23" s="36" t="s">
        <v>55</v>
      </c>
      <c r="K23" s="37" t="s">
        <v>56</v>
      </c>
      <c r="L23" s="5">
        <v>200</v>
      </c>
      <c r="M23" s="5">
        <v>5</v>
      </c>
      <c r="N23" s="1">
        <v>22.7</v>
      </c>
      <c r="O23" s="1">
        <v>257.53699999999998</v>
      </c>
      <c r="P23" s="1">
        <v>26.4</v>
      </c>
      <c r="Q23" s="1">
        <v>365.4051</v>
      </c>
      <c r="R23" s="1">
        <v>30</v>
      </c>
      <c r="S23" s="1">
        <v>498.62639999999999</v>
      </c>
      <c r="U23" s="5">
        <v>200</v>
      </c>
      <c r="V23" s="5">
        <v>5</v>
      </c>
      <c r="W23" s="17">
        <f t="shared" si="3"/>
        <v>6.5235981308411217</v>
      </c>
      <c r="X23" s="1"/>
      <c r="Y23" s="1"/>
      <c r="Z23" s="1"/>
      <c r="AA23" s="1"/>
      <c r="AB23" s="1"/>
    </row>
    <row r="24" spans="1:28" x14ac:dyDescent="0.3">
      <c r="A24" s="5">
        <v>200</v>
      </c>
      <c r="B24" s="5">
        <v>10</v>
      </c>
      <c r="C24" s="1">
        <v>10.65</v>
      </c>
      <c r="D24" s="1">
        <v>251.33349999999999</v>
      </c>
      <c r="E24" s="1">
        <v>11.5</v>
      </c>
      <c r="F24" s="1">
        <v>376.25380000000001</v>
      </c>
      <c r="G24" s="1">
        <v>12.15</v>
      </c>
      <c r="H24" s="1">
        <v>516.10239999999999</v>
      </c>
      <c r="J24" s="38" t="s">
        <v>57</v>
      </c>
      <c r="K24" s="39" t="s">
        <v>58</v>
      </c>
      <c r="L24" s="5">
        <v>200</v>
      </c>
      <c r="M24" s="5">
        <v>10</v>
      </c>
      <c r="N24" s="1">
        <v>22.35</v>
      </c>
      <c r="O24" s="1">
        <v>256.97570000000002</v>
      </c>
      <c r="P24" s="1">
        <v>26.05</v>
      </c>
      <c r="Q24" s="1">
        <v>374.01479999999998</v>
      </c>
      <c r="R24" s="1">
        <f>R19+(R19-R14)-0.1</f>
        <v>29.549999999999997</v>
      </c>
      <c r="S24" s="1">
        <v>510.89729999999997</v>
      </c>
      <c r="U24" s="5">
        <v>200</v>
      </c>
      <c r="V24" s="5">
        <v>10</v>
      </c>
      <c r="W24" s="17">
        <f t="shared" si="3"/>
        <v>6.1196428571428578</v>
      </c>
      <c r="X24" s="1"/>
      <c r="Y24" s="1"/>
      <c r="Z24" s="1"/>
      <c r="AA24" s="1"/>
      <c r="AB24" s="1"/>
    </row>
    <row r="25" spans="1:28" x14ac:dyDescent="0.3">
      <c r="A25" s="5">
        <v>200</v>
      </c>
      <c r="B25" s="5">
        <v>15</v>
      </c>
      <c r="C25" s="1">
        <v>10.45</v>
      </c>
      <c r="D25" s="1">
        <v>246.94970000000001</v>
      </c>
      <c r="E25" s="1">
        <v>11.200000000000001</v>
      </c>
      <c r="F25" s="1">
        <v>362.49160000000001</v>
      </c>
      <c r="G25" s="1">
        <v>11.75</v>
      </c>
      <c r="H25" s="1">
        <v>490.02530000000002</v>
      </c>
      <c r="J25" s="38" t="s">
        <v>59</v>
      </c>
      <c r="K25" s="39" t="s">
        <v>60</v>
      </c>
      <c r="L25" s="5">
        <v>200</v>
      </c>
      <c r="M25" s="5">
        <v>15</v>
      </c>
      <c r="N25" s="1">
        <v>21.6</v>
      </c>
      <c r="O25" s="1">
        <v>256.55130000000003</v>
      </c>
      <c r="P25" s="1">
        <v>24.85</v>
      </c>
      <c r="Q25" s="1">
        <v>377.87099999999998</v>
      </c>
      <c r="R25" s="1">
        <f t="shared" si="8"/>
        <v>28.200000000000003</v>
      </c>
      <c r="S25" s="1">
        <v>509.66410000000002</v>
      </c>
      <c r="U25" s="5">
        <v>200</v>
      </c>
      <c r="V25" s="5">
        <v>15</v>
      </c>
      <c r="W25" s="17">
        <f t="shared" si="3"/>
        <v>5.9304785894206553</v>
      </c>
      <c r="X25" s="1"/>
      <c r="Y25" s="1"/>
      <c r="Z25" s="1"/>
      <c r="AA25" s="1"/>
      <c r="AB25" s="1"/>
    </row>
    <row r="26" spans="1:28" x14ac:dyDescent="0.3">
      <c r="A26" s="5">
        <v>200</v>
      </c>
      <c r="B26" s="5">
        <v>20</v>
      </c>
      <c r="C26" s="1">
        <v>10.3</v>
      </c>
      <c r="D26" s="1">
        <v>243.64150000000001</v>
      </c>
      <c r="E26" s="1">
        <v>11.05</v>
      </c>
      <c r="F26" s="1">
        <v>374.63010000000003</v>
      </c>
      <c r="G26" s="1">
        <v>11.65</v>
      </c>
      <c r="H26" s="1">
        <v>511.48340000000002</v>
      </c>
      <c r="J26" s="38" t="s">
        <v>64</v>
      </c>
      <c r="K26" s="39" t="s">
        <v>61</v>
      </c>
      <c r="L26" s="5">
        <v>200</v>
      </c>
      <c r="M26" s="5">
        <v>20</v>
      </c>
      <c r="N26" s="1">
        <v>20.55</v>
      </c>
      <c r="O26" s="1">
        <v>254.50229999999999</v>
      </c>
      <c r="P26" s="1">
        <v>23.3</v>
      </c>
      <c r="Q26" s="1">
        <v>366.27710000000002</v>
      </c>
      <c r="R26" s="1">
        <v>26.35</v>
      </c>
      <c r="S26" s="1">
        <v>495.76209999999998</v>
      </c>
      <c r="U26" s="5">
        <v>200</v>
      </c>
      <c r="V26" s="5">
        <v>20</v>
      </c>
      <c r="W26" s="17">
        <f t="shared" si="3"/>
        <v>5.7933510638297872</v>
      </c>
      <c r="X26" s="1"/>
      <c r="Y26" s="1"/>
      <c r="Z26" s="1"/>
      <c r="AA26" s="1"/>
      <c r="AB26" s="1"/>
    </row>
    <row r="27" spans="1:28" x14ac:dyDescent="0.3">
      <c r="A27" s="5">
        <v>200</v>
      </c>
      <c r="B27" s="5">
        <v>25</v>
      </c>
      <c r="C27" s="1">
        <v>10.199999999999999</v>
      </c>
      <c r="D27" s="1">
        <v>249.23249999999999</v>
      </c>
      <c r="E27" s="1">
        <v>10.9</v>
      </c>
      <c r="F27" s="1">
        <v>371.11590000000001</v>
      </c>
      <c r="G27" s="1">
        <v>11.5</v>
      </c>
      <c r="H27" s="1">
        <v>512.10239999999999</v>
      </c>
      <c r="J27" s="40" t="s">
        <v>63</v>
      </c>
      <c r="K27" s="41" t="s">
        <v>62</v>
      </c>
      <c r="L27" s="5">
        <v>200</v>
      </c>
      <c r="M27" s="5">
        <v>25</v>
      </c>
      <c r="N27" s="1">
        <v>19.55</v>
      </c>
      <c r="O27" s="1">
        <v>251.79730000000001</v>
      </c>
      <c r="P27" s="1">
        <v>22.25</v>
      </c>
      <c r="Q27" s="1">
        <v>361.7072</v>
      </c>
      <c r="R27" s="1">
        <v>25.05</v>
      </c>
      <c r="S27" s="1">
        <v>513.92570000000001</v>
      </c>
      <c r="U27" s="5">
        <v>200</v>
      </c>
      <c r="V27" s="5">
        <v>25</v>
      </c>
      <c r="W27" s="17">
        <f t="shared" si="3"/>
        <v>5.7761363636363638</v>
      </c>
      <c r="X27" s="1"/>
      <c r="Y27" s="1"/>
      <c r="Z27" s="1"/>
      <c r="AA27" s="1"/>
      <c r="AB27" s="1"/>
    </row>
  </sheetData>
  <mergeCells count="14">
    <mergeCell ref="U1:V1"/>
    <mergeCell ref="W1:X1"/>
    <mergeCell ref="Y1:Z1"/>
    <mergeCell ref="AA1:AB1"/>
    <mergeCell ref="A1:B1"/>
    <mergeCell ref="C1:D1"/>
    <mergeCell ref="E1:F1"/>
    <mergeCell ref="G1:H1"/>
    <mergeCell ref="N1:O1"/>
    <mergeCell ref="P1:Q1"/>
    <mergeCell ref="R1:S1"/>
    <mergeCell ref="L1:M1"/>
    <mergeCell ref="J1:J2"/>
    <mergeCell ref="K1:K2"/>
  </mergeCells>
  <hyperlinks>
    <hyperlink ref="K3" r:id="rId1" xr:uid="{450C50D8-0E03-4B0C-91EC-9829A00B6FF3}"/>
    <hyperlink ref="K4" r:id="rId2" xr:uid="{82420196-89D4-49FD-9E5F-0ABFC3F9BEF4}"/>
    <hyperlink ref="K5" r:id="rId3" xr:uid="{AA4F7EE2-503F-4CB4-9B89-EAF83488A7B8}"/>
    <hyperlink ref="K6" r:id="rId4" xr:uid="{BB964494-6E5A-4C0E-BA70-89AD4B2BC98E}"/>
    <hyperlink ref="K7" r:id="rId5" xr:uid="{49AC6F12-E9CD-4B8C-9858-54329919BA6C}"/>
    <hyperlink ref="K13" r:id="rId6" xr:uid="{3EAB26F0-BA6F-462D-AFA7-56253AB1F74B}"/>
    <hyperlink ref="K14" r:id="rId7" xr:uid="{958B1BC9-592B-4973-A0F8-0A2FF3476A67}"/>
    <hyperlink ref="K15" r:id="rId8" xr:uid="{6A4F4710-CBC5-4810-ADFA-C2AAF307320F}"/>
    <hyperlink ref="K16" r:id="rId9" xr:uid="{275A8FAE-5B43-48E0-B950-9417837BA890}"/>
    <hyperlink ref="K17" r:id="rId10" xr:uid="{5F4612D5-3828-41EE-BEEA-5738284B4132}"/>
    <hyperlink ref="K8" r:id="rId11" xr:uid="{2093E496-B333-4780-866E-E00A7B899419}"/>
    <hyperlink ref="K9" r:id="rId12" xr:uid="{1066FF77-9013-4CAE-A3DC-7E8EB31660D1}"/>
    <hyperlink ref="K10" r:id="rId13" xr:uid="{BCAFB42A-FAA1-4B17-A068-8CBDD3461A3A}"/>
    <hyperlink ref="K11" r:id="rId14" xr:uid="{89F2F77D-0DB6-44E4-8A61-46D7165D968E}"/>
    <hyperlink ref="K12" r:id="rId15" xr:uid="{E42D765C-C366-4C55-868F-1F232B09EAC1}"/>
    <hyperlink ref="K23" r:id="rId16" xr:uid="{117A9E90-E791-4400-A8F6-2E7AAA90807E}"/>
    <hyperlink ref="K24" r:id="rId17" xr:uid="{EBF184A2-EE52-481A-B678-7737FBCB54BF}"/>
    <hyperlink ref="K25" r:id="rId18" xr:uid="{C75C9087-D82C-4CBF-B369-B9B409250EDB}"/>
    <hyperlink ref="K26" r:id="rId19" xr:uid="{4120C965-5250-4A0F-B0EA-ADB73B5DA91D}"/>
    <hyperlink ref="K27" r:id="rId20" xr:uid="{7617A07E-C75D-4DE3-A724-B75DD2A4B84A}"/>
    <hyperlink ref="K18" r:id="rId21" xr:uid="{AE884810-095A-492E-8FC8-780B73F7987F}"/>
    <hyperlink ref="K19" r:id="rId22" xr:uid="{1C534732-876F-4579-A36F-5D6E9D71B4EB}"/>
    <hyperlink ref="K20" r:id="rId23" xr:uid="{D982B01C-7973-4255-9C6B-491931667434}"/>
    <hyperlink ref="K21" r:id="rId24" xr:uid="{CDA86E25-2F25-4420-B91D-8AC65BDE487F}"/>
    <hyperlink ref="K22" r:id="rId25" xr:uid="{006D5A6F-0755-4A89-AC75-BF2270BC8931}"/>
  </hyperlinks>
  <pageMargins left="0.7" right="0.7" top="0.75" bottom="0.75" header="0.3" footer="0.3"/>
  <pageSetup orientation="portrait" r:id="rId2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D53B3-0425-47D7-89A6-521A2E83F831}">
  <dimension ref="A1:I27"/>
  <sheetViews>
    <sheetView workbookViewId="0">
      <selection activeCell="H3" sqref="H3"/>
    </sheetView>
  </sheetViews>
  <sheetFormatPr defaultRowHeight="14.4" x14ac:dyDescent="0.3"/>
  <sheetData>
    <row r="1" spans="1:9" x14ac:dyDescent="0.3">
      <c r="A1" s="58" t="s">
        <v>36</v>
      </c>
      <c r="B1" s="54"/>
      <c r="C1" s="55">
        <v>250</v>
      </c>
      <c r="D1" s="54"/>
      <c r="E1" s="55">
        <v>370</v>
      </c>
      <c r="F1" s="53"/>
      <c r="G1" s="59">
        <v>500</v>
      </c>
      <c r="H1" s="59"/>
    </row>
    <row r="2" spans="1:9" x14ac:dyDescent="0.3">
      <c r="A2" s="4" t="s">
        <v>0</v>
      </c>
      <c r="B2" s="5" t="s">
        <v>1</v>
      </c>
      <c r="C2" s="5" t="s">
        <v>3</v>
      </c>
      <c r="D2" s="5" t="s">
        <v>28</v>
      </c>
      <c r="E2" s="5" t="s">
        <v>3</v>
      </c>
      <c r="F2" s="24" t="s">
        <v>28</v>
      </c>
      <c r="G2" s="5" t="s">
        <v>3</v>
      </c>
      <c r="H2" s="5" t="s">
        <v>28</v>
      </c>
    </row>
    <row r="3" spans="1:9" x14ac:dyDescent="0.3">
      <c r="A3" s="5">
        <v>100</v>
      </c>
      <c r="B3" s="5">
        <v>5</v>
      </c>
      <c r="C3" s="30">
        <v>11.05</v>
      </c>
      <c r="D3" s="30">
        <v>252.7936</v>
      </c>
      <c r="E3" s="30">
        <v>12.05</v>
      </c>
      <c r="F3" s="30">
        <v>375.52019999999999</v>
      </c>
      <c r="G3" s="31">
        <v>12.7</v>
      </c>
      <c r="H3" s="31">
        <v>511.87169999999998</v>
      </c>
      <c r="I3">
        <f>G3*2-0.4</f>
        <v>25</v>
      </c>
    </row>
    <row r="4" spans="1:9" x14ac:dyDescent="0.3">
      <c r="A4" s="5">
        <v>100</v>
      </c>
      <c r="B4" s="5">
        <v>10</v>
      </c>
      <c r="C4" s="30">
        <v>9.75</v>
      </c>
      <c r="D4" s="30">
        <v>249.3304</v>
      </c>
      <c r="E4" s="32">
        <v>21.7</v>
      </c>
      <c r="F4" s="30">
        <v>364.91219999999998</v>
      </c>
      <c r="G4" s="30">
        <v>11.05</v>
      </c>
      <c r="H4" s="30">
        <v>507.7765</v>
      </c>
      <c r="I4">
        <f>G4*2-0.4</f>
        <v>21.700000000000003</v>
      </c>
    </row>
    <row r="5" spans="1:9" x14ac:dyDescent="0.3">
      <c r="A5" s="5">
        <v>100</v>
      </c>
      <c r="B5" s="5">
        <v>15</v>
      </c>
      <c r="C5" s="30">
        <v>9.4499999999999993</v>
      </c>
      <c r="D5" s="30">
        <v>247.8348</v>
      </c>
      <c r="E5" s="30">
        <v>10.1</v>
      </c>
      <c r="F5" s="30">
        <v>365.9726</v>
      </c>
      <c r="G5" s="30">
        <v>10.65</v>
      </c>
      <c r="H5" s="30">
        <v>510.50810000000001</v>
      </c>
      <c r="I5">
        <f>G5*2-0.4</f>
        <v>20.900000000000002</v>
      </c>
    </row>
    <row r="6" spans="1:9" x14ac:dyDescent="0.3">
      <c r="A6" s="5">
        <v>100</v>
      </c>
      <c r="B6" s="5">
        <v>20</v>
      </c>
      <c r="C6" s="30">
        <v>9.35</v>
      </c>
      <c r="D6" s="30">
        <v>247.85429999999999</v>
      </c>
      <c r="E6" s="30">
        <v>10</v>
      </c>
      <c r="F6" s="30">
        <v>375.54809999999998</v>
      </c>
      <c r="G6" s="30">
        <v>10.450000000000001</v>
      </c>
      <c r="H6" s="30">
        <v>510.08519999999999</v>
      </c>
      <c r="I6">
        <f>G6*2-0.4</f>
        <v>20.500000000000004</v>
      </c>
    </row>
    <row r="7" spans="1:9" x14ac:dyDescent="0.3">
      <c r="A7" s="5">
        <v>100</v>
      </c>
      <c r="B7" s="5">
        <v>25</v>
      </c>
      <c r="C7" s="30">
        <v>9.3000000000000007</v>
      </c>
      <c r="D7" s="30">
        <v>252.3175</v>
      </c>
      <c r="E7" s="30">
        <v>9.85</v>
      </c>
      <c r="F7" s="30">
        <v>372.2448</v>
      </c>
      <c r="G7" s="30">
        <v>10.250000000000002</v>
      </c>
      <c r="H7" s="30">
        <v>502.17189999999999</v>
      </c>
      <c r="I7">
        <f>G7*2-0.4</f>
        <v>20.100000000000005</v>
      </c>
    </row>
    <row r="8" spans="1:9" x14ac:dyDescent="0.3">
      <c r="A8" s="5">
        <v>125</v>
      </c>
      <c r="B8" s="5">
        <v>5</v>
      </c>
      <c r="C8" s="30">
        <v>11.5</v>
      </c>
      <c r="D8" s="30">
        <v>258.6345</v>
      </c>
      <c r="E8" s="30">
        <v>12.4</v>
      </c>
      <c r="F8" s="30">
        <v>367.93290000000002</v>
      </c>
      <c r="G8" s="30">
        <v>13.15</v>
      </c>
      <c r="H8" s="30">
        <v>500.93599999999998</v>
      </c>
    </row>
    <row r="9" spans="1:9" x14ac:dyDescent="0.3">
      <c r="A9" s="5">
        <v>125</v>
      </c>
      <c r="B9" s="5">
        <v>10</v>
      </c>
      <c r="C9" s="30">
        <v>10.15</v>
      </c>
      <c r="D9" s="30">
        <v>259.22250000000003</v>
      </c>
      <c r="E9" s="30">
        <v>11</v>
      </c>
      <c r="F9" s="30">
        <v>372.9119</v>
      </c>
      <c r="G9" s="30">
        <v>11.55</v>
      </c>
      <c r="H9" s="30">
        <v>505.55040000000002</v>
      </c>
    </row>
    <row r="10" spans="1:9" x14ac:dyDescent="0.3">
      <c r="A10" s="5">
        <v>125</v>
      </c>
      <c r="B10" s="5">
        <v>15</v>
      </c>
      <c r="C10" s="30">
        <v>9.8000000000000007</v>
      </c>
      <c r="D10" s="30">
        <v>246.9915</v>
      </c>
      <c r="E10" s="30">
        <v>10.45</v>
      </c>
      <c r="F10" s="30">
        <v>374.62299999999999</v>
      </c>
      <c r="G10" s="30">
        <v>11</v>
      </c>
      <c r="H10" s="30">
        <v>508.97269999999997</v>
      </c>
    </row>
    <row r="11" spans="1:9" x14ac:dyDescent="0.3">
      <c r="A11" s="5">
        <v>125</v>
      </c>
      <c r="B11" s="5">
        <v>20</v>
      </c>
      <c r="C11" s="30">
        <v>9.65</v>
      </c>
      <c r="D11" s="30">
        <v>250.196</v>
      </c>
      <c r="E11" s="30">
        <v>10.3</v>
      </c>
      <c r="F11" s="30">
        <v>374.1628</v>
      </c>
      <c r="G11" s="30">
        <v>10.75</v>
      </c>
      <c r="H11" s="30">
        <v>510.59410000000003</v>
      </c>
    </row>
    <row r="12" spans="1:9" x14ac:dyDescent="0.3">
      <c r="A12" s="5">
        <v>125</v>
      </c>
      <c r="B12" s="5">
        <v>25</v>
      </c>
      <c r="C12" s="30">
        <v>9.6</v>
      </c>
      <c r="D12" s="30">
        <v>253.11170000000001</v>
      </c>
      <c r="E12" s="30">
        <v>10.15</v>
      </c>
      <c r="F12" s="30">
        <v>367.64240000000001</v>
      </c>
      <c r="G12" s="30">
        <v>10.6</v>
      </c>
      <c r="H12" s="30">
        <v>503.78829999999999</v>
      </c>
    </row>
    <row r="13" spans="1:9" x14ac:dyDescent="0.3">
      <c r="A13" s="5">
        <v>150</v>
      </c>
      <c r="B13" s="5">
        <v>5</v>
      </c>
      <c r="C13" s="30">
        <v>11.7</v>
      </c>
      <c r="D13" s="30">
        <v>251.7227</v>
      </c>
      <c r="E13" s="30">
        <v>12.7</v>
      </c>
      <c r="F13" s="30">
        <v>370.88040000000001</v>
      </c>
      <c r="G13" s="30">
        <v>13.299999999999999</v>
      </c>
      <c r="H13" s="30">
        <v>491.88760000000002</v>
      </c>
    </row>
    <row r="14" spans="1:9" x14ac:dyDescent="0.3">
      <c r="A14" s="5">
        <v>150</v>
      </c>
      <c r="B14" s="5">
        <v>10</v>
      </c>
      <c r="C14" s="30">
        <v>10.399999999999999</v>
      </c>
      <c r="D14" s="30">
        <v>246.6626</v>
      </c>
      <c r="E14" s="30">
        <v>11.25</v>
      </c>
      <c r="F14" s="30">
        <v>371.8621</v>
      </c>
      <c r="G14" s="30">
        <v>11.9</v>
      </c>
      <c r="H14" s="30">
        <v>494.46300000000002</v>
      </c>
    </row>
    <row r="15" spans="1:9" x14ac:dyDescent="0.3">
      <c r="A15" s="5">
        <v>150</v>
      </c>
      <c r="B15" s="5">
        <v>15</v>
      </c>
      <c r="C15" s="30">
        <v>10.099999999999998</v>
      </c>
      <c r="D15" s="30">
        <v>255.47389999999999</v>
      </c>
      <c r="E15" s="30">
        <v>10.749999999999998</v>
      </c>
      <c r="F15" s="30">
        <v>375.20240000000001</v>
      </c>
      <c r="G15" s="30">
        <v>11.25</v>
      </c>
      <c r="H15" s="30">
        <v>497.4409</v>
      </c>
    </row>
    <row r="16" spans="1:9" x14ac:dyDescent="0.3">
      <c r="A16" s="5">
        <v>150</v>
      </c>
      <c r="B16" s="5">
        <v>20</v>
      </c>
      <c r="C16" s="30">
        <v>9.85</v>
      </c>
      <c r="D16" s="30">
        <v>253.12979999999999</v>
      </c>
      <c r="E16" s="30">
        <v>10.549999999999999</v>
      </c>
      <c r="F16" s="30">
        <v>376.5154</v>
      </c>
      <c r="G16" s="30">
        <v>11</v>
      </c>
      <c r="H16" s="30">
        <v>501.209</v>
      </c>
    </row>
    <row r="17" spans="1:8" x14ac:dyDescent="0.3">
      <c r="A17" s="5">
        <v>150</v>
      </c>
      <c r="B17" s="5">
        <v>25</v>
      </c>
      <c r="C17" s="30">
        <v>9.8000000000000007</v>
      </c>
      <c r="D17" s="30">
        <v>255.33430000000001</v>
      </c>
      <c r="E17" s="30">
        <v>10.349999999999998</v>
      </c>
      <c r="F17" s="30">
        <v>364.18689999999998</v>
      </c>
      <c r="G17" s="30">
        <v>10.850000000000001</v>
      </c>
      <c r="H17" s="30">
        <v>496.90559999999999</v>
      </c>
    </row>
    <row r="18" spans="1:8" x14ac:dyDescent="0.3">
      <c r="A18" s="5">
        <v>175</v>
      </c>
      <c r="B18" s="5">
        <v>5</v>
      </c>
      <c r="C18" s="30">
        <v>11.899999999999999</v>
      </c>
      <c r="D18" s="30">
        <v>256.84710000000001</v>
      </c>
      <c r="E18" s="30">
        <v>12.949999999999998</v>
      </c>
      <c r="F18" s="30">
        <v>375.05119999999999</v>
      </c>
      <c r="G18" s="30">
        <v>13.599999999999998</v>
      </c>
      <c r="H18" s="30">
        <v>491.90300000000002</v>
      </c>
    </row>
    <row r="19" spans="1:8" x14ac:dyDescent="0.3">
      <c r="A19" s="5">
        <v>175</v>
      </c>
      <c r="B19" s="5">
        <v>10</v>
      </c>
      <c r="C19" s="30">
        <v>10.649999999999997</v>
      </c>
      <c r="D19" s="30">
        <v>247.36170000000001</v>
      </c>
      <c r="E19" s="30">
        <v>11.5</v>
      </c>
      <c r="F19" s="30">
        <v>376.8347</v>
      </c>
      <c r="G19" s="30">
        <v>12.25</v>
      </c>
      <c r="H19" s="30">
        <v>510.77460000000002</v>
      </c>
    </row>
    <row r="20" spans="1:8" x14ac:dyDescent="0.3">
      <c r="A20" s="5">
        <v>175</v>
      </c>
      <c r="B20" s="5">
        <v>15</v>
      </c>
      <c r="C20" s="30">
        <v>10.199999999999996</v>
      </c>
      <c r="D20" s="30">
        <v>244.1498</v>
      </c>
      <c r="E20" s="30">
        <v>10.949999999999998</v>
      </c>
      <c r="F20" s="30">
        <v>366.38940000000002</v>
      </c>
      <c r="G20" s="30">
        <v>11.5</v>
      </c>
      <c r="H20" s="30">
        <v>496.09719999999999</v>
      </c>
    </row>
    <row r="21" spans="1:8" x14ac:dyDescent="0.3">
      <c r="A21" s="5">
        <v>175</v>
      </c>
      <c r="B21" s="5">
        <v>20</v>
      </c>
      <c r="C21" s="30">
        <v>10.049999999999999</v>
      </c>
      <c r="D21" s="30">
        <v>255.5052</v>
      </c>
      <c r="E21" s="30">
        <v>10.749999999999996</v>
      </c>
      <c r="F21" s="30">
        <v>376.61770000000001</v>
      </c>
      <c r="G21" s="30">
        <v>11.25</v>
      </c>
      <c r="H21" s="30">
        <v>511.53390000000002</v>
      </c>
    </row>
    <row r="22" spans="1:8" x14ac:dyDescent="0.3">
      <c r="A22" s="5">
        <v>175</v>
      </c>
      <c r="B22" s="5">
        <v>25</v>
      </c>
      <c r="C22" s="30">
        <v>9.9500000000000011</v>
      </c>
      <c r="D22" s="30">
        <v>254.6301</v>
      </c>
      <c r="E22" s="30">
        <v>10.649999999999995</v>
      </c>
      <c r="F22" s="30">
        <v>380.95690000000002</v>
      </c>
      <c r="G22" s="30">
        <v>11.100000000000003</v>
      </c>
      <c r="H22" s="30">
        <v>506.80259999999998</v>
      </c>
    </row>
    <row r="23" spans="1:8" x14ac:dyDescent="0.3">
      <c r="A23" s="5">
        <v>200</v>
      </c>
      <c r="B23" s="5">
        <v>5</v>
      </c>
      <c r="C23" s="30">
        <v>12</v>
      </c>
      <c r="D23" s="30">
        <v>252.77449999999999</v>
      </c>
      <c r="E23" s="30">
        <v>13</v>
      </c>
      <c r="F23" s="30">
        <v>367.83440000000002</v>
      </c>
      <c r="G23" s="30">
        <v>13.9</v>
      </c>
      <c r="H23" s="30">
        <v>508.4255</v>
      </c>
    </row>
    <row r="24" spans="1:8" x14ac:dyDescent="0.3">
      <c r="A24" s="5">
        <v>200</v>
      </c>
      <c r="B24" s="5">
        <v>10</v>
      </c>
      <c r="C24" s="30">
        <v>10.799999999999999</v>
      </c>
      <c r="D24" s="30">
        <v>247.7362</v>
      </c>
      <c r="E24" s="30">
        <v>11.65</v>
      </c>
      <c r="F24" s="30">
        <v>374.0197</v>
      </c>
      <c r="G24" s="30">
        <v>12.400000000000002</v>
      </c>
      <c r="H24" s="30">
        <v>490.17399999999998</v>
      </c>
    </row>
    <row r="25" spans="1:8" x14ac:dyDescent="0.3">
      <c r="A25" s="5">
        <v>200</v>
      </c>
      <c r="B25" s="5">
        <v>15</v>
      </c>
      <c r="C25" s="30">
        <v>10.399999999999999</v>
      </c>
      <c r="D25" s="30">
        <v>255.81659999999999</v>
      </c>
      <c r="E25" s="30">
        <v>11.049999999999999</v>
      </c>
      <c r="F25" s="30">
        <v>365.05709999999999</v>
      </c>
      <c r="G25" s="30">
        <v>11.750000000000002</v>
      </c>
      <c r="H25" s="30">
        <v>509.64319999999998</v>
      </c>
    </row>
    <row r="26" spans="1:8" x14ac:dyDescent="0.3">
      <c r="A26" s="5">
        <v>200</v>
      </c>
      <c r="B26" s="5">
        <v>20</v>
      </c>
      <c r="C26" s="30">
        <v>10.15</v>
      </c>
      <c r="D26" s="30">
        <v>244.13460000000001</v>
      </c>
      <c r="E26" s="30">
        <v>10.85</v>
      </c>
      <c r="F26" s="30">
        <v>365.892</v>
      </c>
      <c r="G26" s="30">
        <v>11.400000000000002</v>
      </c>
      <c r="H26" s="30">
        <v>496.50970000000001</v>
      </c>
    </row>
    <row r="27" spans="1:8" x14ac:dyDescent="0.3">
      <c r="A27" s="5">
        <v>200</v>
      </c>
      <c r="B27" s="5">
        <v>25</v>
      </c>
      <c r="C27" s="30">
        <v>10.100000000000001</v>
      </c>
      <c r="D27" s="30">
        <v>255.4931</v>
      </c>
      <c r="E27" s="30">
        <v>10.7</v>
      </c>
      <c r="F27" s="30">
        <v>372.13929999999999</v>
      </c>
      <c r="G27" s="30">
        <v>11.250000000000004</v>
      </c>
      <c r="H27" s="30">
        <v>497.58199999999999</v>
      </c>
    </row>
  </sheetData>
  <mergeCells count="4">
    <mergeCell ref="A1:B1"/>
    <mergeCell ref="C1:D1"/>
    <mergeCell ref="E1:F1"/>
    <mergeCell ref="G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VWAB Modeling Data</vt:lpstr>
      <vt:lpstr>VWM Modeling Data</vt:lpstr>
      <vt:lpstr>Sheet1</vt:lpstr>
      <vt:lpstr>H for VWAB with ARL0</vt:lpstr>
      <vt:lpstr>H for VWM with ARL0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</dc:creator>
  <cp:lastModifiedBy>Saurabh</cp:lastModifiedBy>
  <dcterms:created xsi:type="dcterms:W3CDTF">2024-04-11T14:32:31Z</dcterms:created>
  <dcterms:modified xsi:type="dcterms:W3CDTF">2024-08-10T15:42:08Z</dcterms:modified>
</cp:coreProperties>
</file>